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llt\Documents\Schoolwork\2022-2023\ECE 538\Final Project\Toolpaths\2_Layer\"/>
    </mc:Choice>
  </mc:AlternateContent>
  <xr:revisionPtr revIDLastSave="0" documentId="13_ncr:1_{BD4BC3D0-960B-409C-9089-716E3124EA87}" xr6:coauthVersionLast="47" xr6:coauthVersionMax="47" xr10:uidLastSave="{00000000-0000-0000-0000-000000000000}"/>
  <bookViews>
    <workbookView xWindow="3450" yWindow="2715" windowWidth="23310" windowHeight="1555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8" i="1" l="1"/>
  <c r="L25" i="1"/>
  <c r="K25" i="1"/>
  <c r="H25" i="1"/>
  <c r="L24" i="1"/>
  <c r="K24" i="1"/>
  <c r="I24" i="1"/>
  <c r="G24" i="1"/>
  <c r="G23" i="1"/>
  <c r="F23" i="1"/>
  <c r="E22" i="1"/>
  <c r="B20" i="4"/>
  <c r="G20" i="1"/>
  <c r="G18" i="1"/>
  <c r="H19" i="1"/>
  <c r="H17" i="1"/>
  <c r="L15" i="1"/>
  <c r="K15" i="1"/>
  <c r="G15" i="1"/>
  <c r="E16" i="1"/>
  <c r="K17" i="1"/>
  <c r="L17" i="1"/>
  <c r="K18" i="1"/>
  <c r="L18" i="1"/>
  <c r="K19" i="1"/>
  <c r="L19" i="1"/>
  <c r="K20" i="1"/>
  <c r="L20" i="1"/>
  <c r="E21" i="1"/>
  <c r="G21" i="1"/>
  <c r="T42" i="1"/>
  <c r="T51" i="1" l="1"/>
  <c r="T49" i="1"/>
  <c r="G14"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<sst xmlns="http://schemas.openxmlformats.org/spreadsheetml/2006/main" count="5594" uniqueCount="850">
  <si>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</si>
  <si>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</si>
  <si>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</si>
  <si>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</si>
  <si>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</si>
  <si>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</si>
  <si>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</si>
  <si>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</si>
  <si>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</si>
  <si>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</si>
  <si>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</si>
  <si>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</si>
  <si>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</si>
  <si>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</si>
  <si>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</si>
  <si>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</si>
  <si>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</si>
  <si>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</si>
  <si>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</si>
  <si>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</si>
  <si>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</si>
  <si>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</si>
  <si>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</si>
  <si>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</si>
  <si>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</si>
  <si>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</si>
  <si>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</si>
  <si>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</si>
  <si>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</si>
  <si>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</si>
  <si>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</si>
  <si>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</si>
  <si>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</si>
  <si>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</si>
  <si>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</si>
  <si>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</si>
  <si>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</si>
  <si>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</si>
  <si>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</si>
  <si>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</si>
  <si>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</si>
  <si>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</si>
  <si>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</si>
  <si>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</si>
  <si>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</si>
  <si>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</si>
  <si>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</si>
  <si>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</si>
  <si>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</si>
  <si>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</si>
  <si>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</si>
  <si>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</si>
  <si>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</si>
  <si>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</si>
  <si>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</si>
  <si>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</si>
  <si>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</si>
  <si>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</si>
  <si>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</si>
  <si>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</si>
  <si>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</si>
  <si>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</si>
  <si>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</si>
  <si>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</si>
  <si>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</si>
  <si>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</si>
  <si>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</si>
  <si>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</si>
  <si>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</si>
  <si>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</si>
  <si>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</si>
  <si>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</si>
  <si>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</si>
  <si>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</si>
  <si>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</si>
  <si>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</si>
  <si>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</si>
  <si>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</si>
  <si>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</si>
  <si>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</si>
  <si>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</si>
  <si>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</si>
  <si>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</si>
  <si>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</si>
  <si>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</si>
  <si>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</si>
  <si>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</si>
  <si>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</si>
  <si>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</si>
  <si>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</si>
  <si>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</si>
  <si>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</si>
  <si>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</si>
  <si>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</si>
  <si>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</si>
  <si>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</si>
  <si>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</si>
  <si>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</si>
  <si>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</si>
  <si>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</si>
  <si>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</si>
  <si>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</si>
  <si>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</si>
  <si>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</si>
  <si>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</si>
  <si>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</si>
  <si>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</si>
  <si>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</si>
  <si>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</si>
  <si>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</si>
  <si>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</si>
  <si>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</si>
  <si>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</si>
  <si>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</si>
  <si>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</si>
  <si>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</si>
  <si>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</si>
  <si>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</si>
  <si>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</si>
  <si>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</si>
  <si>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</si>
  <si>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</si>
  <si>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</si>
  <si>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</si>
  <si>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</si>
  <si>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</si>
  <si>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</si>
  <si>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</si>
  <si>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</si>
  <si>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</si>
  <si>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</si>
  <si>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</si>
  <si>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</si>
  <si>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</si>
  <si>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</si>
  <si>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</si>
  <si>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</si>
  <si>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</si>
  <si>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</si>
  <si>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</si>
  <si>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</si>
  <si>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</si>
  <si>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</si>
  <si>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</si>
  <si>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</si>
  <si>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</si>
  <si>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</si>
  <si>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</si>
  <si>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</si>
  <si>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</si>
  <si>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</si>
  <si>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</si>
  <si>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</si>
  <si>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</si>
  <si>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</si>
  <si>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</si>
  <si>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</si>
  <si>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</si>
  <si>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</si>
  <si>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</si>
  <si>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</si>
  <si>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</si>
  <si>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</si>
  <si>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</si>
  <si>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</si>
  <si>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</si>
  <si>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</si>
  <si>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</si>
  <si>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</si>
  <si>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</si>
  <si>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</si>
  <si>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</si>
  <si>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</si>
  <si>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</si>
  <si>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</si>
  <si>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</si>
  <si>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</si>
  <si>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</si>
  <si>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</si>
  <si>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</si>
  <si>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</si>
  <si>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</si>
  <si>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</si>
  <si>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</si>
  <si>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</si>
  <si>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</si>
  <si>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</si>
  <si>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</si>
  <si>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</si>
  <si>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</si>
  <si>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</si>
  <si>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</si>
  <si>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</si>
  <si>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</si>
  <si>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</si>
  <si>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</si>
  <si>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</si>
  <si>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</si>
  <si>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</si>
  <si>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</si>
  <si>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</si>
  <si>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</si>
  <si>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</si>
  <si>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</si>
  <si>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</si>
  <si>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</si>
  <si>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</si>
  <si>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</si>
  <si>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</si>
  <si>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</si>
  <si>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</si>
  <si>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</si>
  <si>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</si>
  <si>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</si>
  <si>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</si>
  <si>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</si>
  <si>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</si>
  <si>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</si>
  <si>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</si>
  <si>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</si>
  <si>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</si>
  <si>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</si>
  <si>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</si>
  <si>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</si>
  <si>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</si>
  <si>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</si>
  <si>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</si>
  <si>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</si>
  <si>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</si>
  <si>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</si>
  <si>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</si>
  <si>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</si>
  <si>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</si>
  <si>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</si>
  <si>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</si>
  <si>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</si>
  <si>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</si>
  <si>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</si>
  <si>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</si>
  <si>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</si>
  <si>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</si>
  <si>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</si>
  <si>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</si>
  <si>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</si>
  <si>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</si>
  <si>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</si>
  <si>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</si>
  <si>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</si>
  <si>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</si>
  <si>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</si>
  <si>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</si>
  <si>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</si>
  <si>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</si>
  <si>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</si>
  <si>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</si>
  <si>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</si>
  <si>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</si>
  <si>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</si>
  <si>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</si>
  <si>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</si>
  <si>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</si>
  <si>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</si>
  <si>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</si>
  <si>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</si>
  <si>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</si>
  <si>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</si>
  <si>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</si>
  <si>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</si>
  <si>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</si>
  <si>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</si>
  <si>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</si>
  <si>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</si>
  <si>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</si>
  <si>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</si>
  <si>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</si>
  <si>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</si>
  <si>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</si>
  <si>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</si>
  <si>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</si>
  <si>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</si>
  <si>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</si>
  <si>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</si>
  <si>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</si>
  <si>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</si>
  <si>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</si>
  <si>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</si>
  <si>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</si>
  <si>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</si>
  <si>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</si>
  <si>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</si>
  <si>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</si>
  <si>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</si>
  <si>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</si>
  <si>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</si>
  <si>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</si>
  <si>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</si>
  <si>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</si>
  <si>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</si>
  <si>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</si>
  <si>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</si>
  <si>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</si>
  <si>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</si>
  <si>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</si>
  <si>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</si>
  <si>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</si>
  <si>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</si>
  <si>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</si>
  <si>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</si>
  <si>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</si>
  <si>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</si>
  <si>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</si>
  <si>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</si>
  <si>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</si>
  <si>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</si>
  <si>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</si>
  <si>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</si>
  <si>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</si>
  <si>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</si>
  <si>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</si>
  <si>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</si>
  <si>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</si>
  <si>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</si>
  <si>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</si>
  <si>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</si>
  <si>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</si>
  <si>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</si>
  <si>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</si>
  <si>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</si>
  <si>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</si>
  <si>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</si>
  <si>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</si>
  <si>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</si>
  <si>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</si>
  <si>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</si>
  <si>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</si>
  <si>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</si>
  <si>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</si>
  <si>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</si>
  <si>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</si>
  <si>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</si>
  <si>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</si>
  <si>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</si>
  <si>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</si>
  <si>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</si>
  <si>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</si>
  <si>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</si>
  <si>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</si>
  <si>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</si>
  <si>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</si>
  <si>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</si>
  <si>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</si>
  <si>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</si>
  <si>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</si>
  <si>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</si>
  <si>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</si>
  <si>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</si>
  <si>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</si>
  <si>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</si>
  <si>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</si>
  <si>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</si>
  <si>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</si>
  <si>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</si>
  <si>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</si>
  <si>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</si>
  <si>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</si>
  <si>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</si>
  <si>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</si>
  <si>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</si>
  <si>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</si>
  <si>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</si>
  <si>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</si>
  <si>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</si>
  <si>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</si>
  <si>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</si>
  <si>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</si>
  <si>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</si>
  <si>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</si>
  <si>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</si>
  <si>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</si>
  <si>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</si>
  <si>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</si>
  <si>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</si>
  <si>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</si>
  <si>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</si>
  <si>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</si>
  <si>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</si>
  <si>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</si>
  <si>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</si>
  <si>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</si>
  <si>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</si>
  <si>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</si>
  <si>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</si>
  <si>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</si>
  <si>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</si>
  <si>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</si>
  <si>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</si>
  <si>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</si>
  <si>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</si>
  <si>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</si>
  <si>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</si>
  <si>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</si>
  <si>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</si>
  <si>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</si>
  <si>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</si>
  <si>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</si>
  <si>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</si>
  <si>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</si>
  <si>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</si>
  <si>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</si>
  <si>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</si>
  <si>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</si>
  <si>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</si>
  <si>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</si>
  <si>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</si>
  <si>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</si>
  <si>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</si>
  <si>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</si>
  <si>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</si>
  <si>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</si>
  <si>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</si>
  <si>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</si>
  <si>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</si>
  <si>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</si>
  <si>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</si>
  <si>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</si>
  <si>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</si>
  <si>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</si>
  <si>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</si>
  <si>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</si>
  <si>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</si>
  <si>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</si>
  <si>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</si>
  <si>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</si>
  <si>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</si>
  <si>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</si>
  <si>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</si>
  <si>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</si>
  <si>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</si>
  <si>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</si>
  <si>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</si>
  <si>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</si>
  <si>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</si>
  <si>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</si>
  <si>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</si>
  <si>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</si>
  <si>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</si>
  <si>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</si>
  <si>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</si>
  <si>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</si>
  <si>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</si>
  <si>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</si>
  <si>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</si>
  <si>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</si>
  <si>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</si>
  <si>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</si>
  <si>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</si>
  <si>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</si>
  <si>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</si>
  <si>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</si>
  <si>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</si>
  <si>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</si>
  <si>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</si>
  <si>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</si>
  <si>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</si>
  <si>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</si>
  <si>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</si>
  <si>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</si>
  <si>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</si>
  <si>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</si>
  <si>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</si>
  <si>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</si>
  <si>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</si>
  <si>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</si>
  <si>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</si>
  <si>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</si>
  <si>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</si>
  <si>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</si>
  <si>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</si>
  <si>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</si>
  <si>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</si>
  <si>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</si>
  <si>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</si>
  <si>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</si>
  <si>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</si>
  <si>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</si>
  <si>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</si>
  <si>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</si>
  <si>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</si>
  <si>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</si>
  <si>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</si>
  <si>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</si>
  <si>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</si>
  <si>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</si>
  <si>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</si>
  <si>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</si>
  <si>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</si>
  <si>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</si>
  <si>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</si>
  <si>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</si>
  <si>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</si>
  <si>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</si>
  <si>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</si>
  <si>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</si>
  <si>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</si>
  <si>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</si>
  <si>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</si>
  <si>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</si>
  <si>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</si>
  <si>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</si>
  <si>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</si>
  <si>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</si>
  <si>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</si>
  <si>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</si>
  <si>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</si>
  <si>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</si>
  <si>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</si>
  <si>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</si>
  <si>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</si>
  <si>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</si>
  <si>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</si>
  <si>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</si>
  <si>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</si>
  <si>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</si>
  <si>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</si>
  <si>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</si>
  <si>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</si>
  <si>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</si>
  <si>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</si>
  <si>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</si>
  <si>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</si>
  <si>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</si>
  <si>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</si>
  <si>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</si>
  <si>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</si>
  <si>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</si>
  <si>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</si>
  <si>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</si>
  <si>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</si>
  <si>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</si>
  <si>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</si>
  <si>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</si>
  <si>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</si>
  <si>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</si>
  <si>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</si>
  <si>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</si>
  <si>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</si>
  <si>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</si>
  <si>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</si>
  <si>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</si>
  <si>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</si>
  <si>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</si>
  <si>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</si>
  <si>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</si>
  <si>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</si>
  <si>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</si>
  <si>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</si>
  <si>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</si>
  <si>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</si>
  <si>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</si>
  <si>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</si>
  <si>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</si>
  <si>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</si>
  <si>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</si>
  <si>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</si>
  <si>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</si>
  <si>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</si>
  <si>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</si>
  <si>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</si>
  <si>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</si>
  <si>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</si>
  <si>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</si>
  <si>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</si>
  <si>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</si>
  <si>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</si>
  <si>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</si>
  <si>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</si>
  <si>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</si>
  <si>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</si>
  <si>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</si>
  <si>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</si>
  <si>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</si>
  <si>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</si>
  <si>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</si>
  <si>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</si>
  <si>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</si>
  <si>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</si>
  <si>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</si>
  <si>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</si>
  <si>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</si>
  <si>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</si>
  <si>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</si>
  <si>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</si>
  <si>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</si>
  <si>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</si>
  <si>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</si>
  <si>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</si>
  <si>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</si>
  <si>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</si>
  <si>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</si>
  <si>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</si>
  <si>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</si>
  <si>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</si>
  <si>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</si>
  <si>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</si>
  <si>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</si>
  <si>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</si>
  <si>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</si>
  <si>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</si>
  <si>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</si>
  <si>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</si>
  <si>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</si>
  <si>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</si>
  <si>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</si>
  <si>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</si>
  <si>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</si>
  <si>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</si>
  <si>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</si>
  <si>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</si>
  <si>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</si>
  <si>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</si>
  <si>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</si>
  <si>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</si>
  <si>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</si>
  <si>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</si>
  <si>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</si>
  <si>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</si>
  <si>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</si>
  <si>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</si>
  <si>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</si>
  <si>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</si>
  <si>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</si>
  <si>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</si>
  <si>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</si>
  <si>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</si>
  <si>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</si>
  <si>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</si>
  <si>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</si>
  <si>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</si>
  <si>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</si>
  <si>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</si>
  <si>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</si>
  <si>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</si>
  <si>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</si>
  <si>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</si>
  <si>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</si>
  <si>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</si>
  <si>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</si>
  <si>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</si>
  <si>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</si>
  <si>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</si>
  <si>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</si>
  <si>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</si>
  <si>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</si>
  <si>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</si>
  <si>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</si>
  <si>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</si>
  <si>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</si>
  <si>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</si>
  <si>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</si>
  <si>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</si>
  <si>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</si>
  <si>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</si>
  <si>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</si>
  <si>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</si>
  <si>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</si>
  <si>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</si>
  <si>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</si>
  <si>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</si>
  <si>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</si>
  <si>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</si>
  <si>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</si>
  <si>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</si>
  <si>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</si>
  <si>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</si>
  <si>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</si>
  <si>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</si>
  <si>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</si>
  <si>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</si>
  <si>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</si>
  <si>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</si>
  <si>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</si>
  <si>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</si>
  <si>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</si>
  <si>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</si>
  <si>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</si>
  <si>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</si>
  <si>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</si>
  <si>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</si>
  <si>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</si>
  <si>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</si>
  <si>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</si>
  <si>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</si>
  <si>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</si>
  <si>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</si>
  <si>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</si>
  <si>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</si>
  <si>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</si>
  <si>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</si>
  <si>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</si>
  <si>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</si>
  <si>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</si>
  <si>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</si>
  <si>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</si>
  <si>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</si>
  <si>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</si>
  <si>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</si>
  <si>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</si>
  <si>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</si>
  <si>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</si>
  <si>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</si>
  <si>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</si>
  <si>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</si>
  <si>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</si>
  <si>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</si>
  <si>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</si>
  <si>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</si>
  <si>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</si>
  <si>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</si>
  <si>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</si>
  <si>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</si>
  <si>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</si>
  <si>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</si>
  <si>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</si>
  <si>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</si>
  <si>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</si>
  <si>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</si>
  <si>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</si>
  <si>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</si>
  <si>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</si>
  <si>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</si>
  <si>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</si>
  <si>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</si>
  <si>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</si>
  <si>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</si>
  <si>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</si>
  <si>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</si>
  <si>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13</t>
  </si>
  <si>
    <t>LineFeat9</t>
  </si>
  <si>
    <t>CartesianRepFeat2 of LineFeat8</t>
  </si>
  <si>
    <t>CartesianRepFeat2 of LineFeat9</t>
  </si>
  <si>
    <t>LineFeat10</t>
  </si>
  <si>
    <t>17</t>
  </si>
  <si>
    <t>LineFeat11</t>
  </si>
  <si>
    <t>18</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</si>
  <si>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</si>
  <si>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</si>
  <si>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</si>
  <si>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</si>
  <si>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</si>
  <si>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</si>
  <si>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</si>
  <si>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</si>
  <si>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</si>
  <si>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</si>
  <si>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</si>
  <si>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</si>
  <si>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</si>
  <si>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</si>
  <si>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</si>
  <si>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</si>
  <si>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</si>
  <si>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</si>
  <si>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</si>
  <si>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</si>
  <si>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</si>
  <si>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</si>
  <si>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</si>
  <si>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</si>
  <si>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</si>
  <si>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</si>
  <si>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</si>
  <si>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</si>
  <si>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</si>
  <si>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</si>
  <si>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</si>
  <si>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</si>
  <si>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</si>
  <si>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</si>
  <si>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</si>
  <si>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</si>
  <si>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</si>
  <si>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</si>
  <si>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</si>
  <si>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</si>
  <si>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</si>
  <si>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</si>
  <si>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</si>
  <si>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</si>
  <si>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</si>
  <si>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</si>
  <si>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</si>
  <si>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</si>
  <si>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</si>
  <si>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</si>
  <si>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</si>
  <si>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</si>
  <si>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</si>
  <si>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</si>
  <si>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</si>
  <si>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</si>
  <si>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</si>
  <si>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</si>
  <si>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G0 F3000 Z2.7</t>
  </si>
  <si>
    <t>set global.concretePrimeZ = 2.7</t>
  </si>
  <si>
    <t>Bottom Concrete Layer</t>
  </si>
  <si>
    <t>1st Concrete Layer</t>
  </si>
  <si>
    <t>RetractionFeat1</t>
  </si>
  <si>
    <t>G1 F0.0 E0.0</t>
  </si>
  <si>
    <t>RetractionZhop</t>
  </si>
  <si>
    <t>CartesianRepFeat2 of LineFeat6</t>
  </si>
  <si>
    <t>CartesianRepFeat2 of LineFeat7</t>
  </si>
  <si>
    <t>Last Concrete Line</t>
  </si>
  <si>
    <t>10-13</t>
  </si>
  <si>
    <t>14.1-10</t>
  </si>
  <si>
    <t>14.1-11</t>
  </si>
  <si>
    <t>14.1-12</t>
  </si>
  <si>
    <t>14.1-13</t>
  </si>
  <si>
    <t>14.2-10</t>
  </si>
  <si>
    <t>14.2-11</t>
  </si>
  <si>
    <t>14.2-12</t>
  </si>
  <si>
    <t>14.2-13</t>
  </si>
  <si>
    <t>14.3-10</t>
  </si>
  <si>
    <t>14.3-11</t>
  </si>
  <si>
    <t>14.3-12</t>
  </si>
  <si>
    <t>14.3-13</t>
  </si>
  <si>
    <t>G0 F6000.0 Z5.4</t>
  </si>
  <si>
    <t>G0 F3000 Z5.4</t>
  </si>
  <si>
    <t>RetractionFeat2</t>
  </si>
  <si>
    <t>G0 Y140.0</t>
  </si>
  <si>
    <t>G1 F500 X275.0 Y100.0 E0.255349</t>
  </si>
  <si>
    <t>G1 Y96.0 E0.040823</t>
  </si>
  <si>
    <t>G1 Y92.0 E0.040823</t>
  </si>
  <si>
    <t>G1 Y88.0 E0.040823</t>
  </si>
  <si>
    <t>G1 Y84.0 E0.040823</t>
  </si>
  <si>
    <t>G1 Y80.0 E0.040823</t>
  </si>
  <si>
    <t>G1 Y76.0 E0.040823</t>
  </si>
  <si>
    <t>G1 Y72.0 E0.040823</t>
  </si>
  <si>
    <t>G1 Y68.0 E0.040823</t>
  </si>
  <si>
    <t>G1 F500 Y72.0 E0.040823</t>
  </si>
  <si>
    <t>G1 Y100.0 E0.040823</t>
  </si>
  <si>
    <t>set global.concretePrimeE = 1.27</t>
  </si>
  <si>
    <t>3-15</t>
  </si>
  <si>
    <t>15</t>
  </si>
  <si>
    <t>G0 F6000.0 Z8.1</t>
  </si>
  <si>
    <t>G0 F3000 Z8.1</t>
  </si>
  <si>
    <t>set global.concretePrimeX = 205</t>
  </si>
  <si>
    <t>set global.concretePrimeLength = 70</t>
  </si>
  <si>
    <t>G0 X283.0 Z13.5</t>
  </si>
  <si>
    <t>G1 X225.0 E0.510291</t>
  </si>
  <si>
    <t>G1 X275.0 E0.510291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</si>
</sst>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20">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4" borderId="1" xfId="0" applyFill="1" applyBorder="1"/>
    <xf numFmtId="49" fontId="0" fillId="6" borderId="1" xfId="0" applyNumberFormat="1" applyFill="1" applyBorder="1"/>
    <xf numFmtId="0" fontId="0" fillId="6" borderId="1" xfId="0" applyFill="1" applyBorder="1"/>
    <xf numFmtId="0" fontId="0" fillId="13" borderId="0" xfId="0" applyFill="1"/>
    <xf numFmtId="49" fontId="0" fillId="11" borderId="1" xfId="0" applyNumberFormat="1" applyFill="1" applyBorder="1"/>
    <xf numFmtId="0" fontId="0" fillId="13" borderId="1" xfId="0" applyFill="1" applyBorder="1"/>
    <xf numFmtId="0" fontId="0" fillId="5" borderId="1" xfId="0" applyFill="1" applyBorder="1"/>
    <xf numFmtId="0" fontId="1" fillId="0" borderId="0" xfId="0" applyFont="1"/>
    <xf numFmtId="16" fontId="0" fillId="7" borderId="1" xfId="0" applyNumberFormat="1" applyFill="1" applyBorder="1"/>
    <xf numFmtId="0" fontId="0" fillId="12" borderId="1" xfId="0"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Font="1" applyFill="1" applyBorder="1"/>
    <xf numFmtId="0" fontId="2" fillId="0" borderId="0" xfId="0"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Font="1"/>
    <xf numFmtId="0" fontId="12" fillId="0" borderId="0" xfId="0" applyFont="1" applyAlignment="1">
      <alignment wrapText="1"/>
    </xf>
    <xf numFmtId="0" fontId="13" fillId="0" borderId="0" xfId="0" applyFont="1"/>
    <xf numFmtId="0" fontId="14" fillId="0" borderId="0" xfId="0" applyFont="1"/>
    <xf numFmtId="0" fontId="6" fillId="0" borderId="0" xfId="0" applyFont="1"/>
    <xf numFmtId="0" fontId="18" fillId="3" borderId="1" xfId="0" applyFont="1" applyFill="1" applyBorder="1"/>
    <xf numFmtId="0" fontId="0" fillId="14" borderId="0" xfId="0" applyFill="1"/>
    <xf numFmtId="49" fontId="0" fillId="0" borderId="0" xfId="0" applyNumberFormat="1"/>
    <xf numFmtId="0" fontId="11" fillId="0" borderId="0" xfId="0" applyFont="1" applyAlignment="1">
      <alignment wrapText="1"/>
    </xf>
    <xf numFmtId="0" fontId="19" fillId="0" borderId="0" xfId="0" applyFont="1"/>
    <xf numFmtId="0" fontId="15" fillId="0" borderId="0" xfId="0" applyFont="1" applyAlignment="1">
      <alignment wrapText="1"/>
    </xf>
    <xf numFmtId="0" fontId="20" fillId="0" borderId="0" xfId="0" applyFont="1"/>
    <xf numFmtId="0" fontId="21"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Font="1"/>
    <xf numFmtId="0" fontId="3" fillId="15" borderId="1" xfId="0" applyFont="1" applyFill="1" applyBorder="1"/>
    <xf numFmtId="0" fontId="4" fillId="3" borderId="2" xfId="0" applyFont="1" applyFill="1" applyBorder="1"/>
    <xf numFmtId="0" fontId="0" fillId="15" borderId="0" xfId="0" applyFill="1"/>
    <xf numFmtId="0" fontId="0" fillId="0" borderId="0" xfId="0" applyProtection="1">
      <protection locked="0"/>
    </xf>
    <xf numFmtId="0" fontId="1" fillId="0" borderId="0" xfId="0" applyFont="1" applyProtection="1">
      <protection locked="0"/>
    </xf>
    <xf numFmtId="0" fontId="4" fillId="0" borderId="0" xfId="0" applyFont="1" applyProtection="1">
      <protection locked="0"/>
    </xf>
    <xf numFmtId="0" fontId="11" fillId="0" borderId="0" xfId="0" applyFont="1" applyProtection="1">
      <protection locked="0"/>
    </xf>
    <xf numFmtId="0" fontId="0" fillId="0" borderId="0" xfId="0" applyAlignment="1" applyProtection="1">
      <alignment wrapText="1"/>
      <protection locked="0"/>
    </xf>
    <xf numFmtId="0" fontId="4" fillId="0" borderId="0" xfId="0" applyFont="1"/>
    <xf numFmtId="0" fontId="11" fillId="3" borderId="1" xfId="0" applyFont="1" applyFill="1" applyBorder="1"/>
    <xf numFmtId="0" fontId="4" fillId="15" borderId="1" xfId="0" applyFont="1" applyFill="1" applyBorder="1"/>
    <xf numFmtId="0" fontId="0" fillId="0" borderId="0" xfId="0" applyAlignment="1" applyProtection="1">
      <alignment horizontal="left"/>
      <protection locked="0"/>
    </xf>
    <xf numFmtId="0" fontId="0" fillId="0" borderId="0" xfId="0"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Font="1" applyFill="1" applyBorder="1"/>
    <xf numFmtId="0" fontId="23" fillId="2" borderId="1" xfId="0" applyFont="1" applyFill="1" applyBorder="1"/>
    <xf numFmtId="0" fontId="23" fillId="8" borderId="1" xfId="0" applyFont="1" applyFill="1" applyBorder="1"/>
    <xf numFmtId="0" fontId="0" fillId="10" borderId="1" xfId="0" quotePrefix="1" applyFill="1" applyBorder="1"/>
    <xf numFmtId="0" fontId="15" fillId="0" borderId="0" xfId="0" applyFo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Font="1" applyAlignment="1">
      <alignment wrapText="1"/>
    </xf>
    <xf numFmtId="0" fontId="13" fillId="2" borderId="1" xfId="0" applyFont="1" applyFill="1" applyBorder="1"/>
    <xf numFmtId="0" fontId="0" fillId="0" borderId="0" xfId="0" quotePrefix="1"/>
    <xf numFmtId="11" fontId="0" fillId="2" borderId="1" xfId="0" applyNumberFormat="1" applyFill="1" applyBorder="1"/>
    <xf numFmtId="2" fontId="0" fillId="2" borderId="1" xfId="0" applyNumberFormat="1" applyFill="1" applyBorder="1"/>
    <xf numFmtId="0" fontId="17" fillId="0" borderId="0" xfId="0" applyFont="1" applyAlignment="1" applyProtection="1">
      <alignment horizontal="left" wrapText="1"/>
      <protection locked="0"/>
    </xf>
    <xf numFmtId="0" fontId="16" fillId="0" borderId="0" xfId="0" applyFont="1" applyAlignment="1" applyProtection="1">
      <alignment horizontal="left" wrapText="1"/>
      <protection locked="0"/>
    </xf>
    <xf numFmtId="0" fontId="0" fillId="2" borderId="0" xfId="0" applyFill="1"/>
    <xf numFmtId="0" fontId="12" fillId="0" borderId="0" xfId="0" applyFont="1" applyAlignment="1">
      <alignment horizontal="left" wrapText="1"/>
    </xf>
    <xf numFmtId="0" fontId="19" fillId="0" borderId="0" xfId="0"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topLeftCell="B1" zoomScale="85" zoomScaleNormal="85" workbookViewId="0">
      <pane ySplit="1" topLeftCell="A20" activePane="bottomLeft" state="frozen"/>
      <selection activeCell="G268" sqref="G268"/>
      <selection pane="bottomLeft" activeCell="B8" sqref="B8:O25"/>
    </sheetView>
  </sheetViews>
  <sheetFormatPr defaultColWidth="8.85546875" defaultRowHeight="15" x14ac:dyDescent="0.25"/>
  <cols>
    <col min="1" max="1" width="9.140625" style="64" customWidth="1"/>
    <col min="2" max="2" width="19.140625" style="64" customWidth="1"/>
    <col min="3" max="6" width="12.140625" style="64" customWidth="1"/>
    <col min="7" max="7" width="21.140625" style="64" customWidth="1"/>
    <col min="8" max="16" width="12.140625" style="64" customWidth="1"/>
    <col min="17" max="17" width="67.85546875" style="64" customWidth="1"/>
    <col min="18" max="18" width="3.42578125" style="64" customWidth="1"/>
    <col min="19" max="19" width="32.140625" style="64" bestFit="1" customWidth="1"/>
    <col min="20" max="20" width="19.7109375" style="64" customWidth="1"/>
    <col min="21" max="21" width="20" style="64" bestFit="1" customWidth="1"/>
    <col min="22" max="16384" width="8.85546875" style="64"/>
  </cols>
  <sheetData>
    <row r="1" spans="1:40" ht="122.25" customHeight="1" x14ac:dyDescent="0.3">
      <c r="B1" s="115"/>
      <c r="C1" s="116"/>
      <c r="D1" s="116"/>
      <c r="E1" s="116"/>
      <c r="F1" s="116"/>
      <c r="L1" s="65"/>
      <c r="S1" s="68"/>
    </row>
    <row r="2" spans="1:40" x14ac:dyDescent="0.25">
      <c r="C2" s="65"/>
      <c r="E2" s="65"/>
    </row>
    <row r="3" spans="1:40" x14ac:dyDescent="0.25">
      <c r="F3" s="65"/>
      <c r="H3" s="66"/>
      <c r="I3" s="64" t="s">
        <v>484</v>
      </c>
      <c r="M3" s="66"/>
      <c r="O3" s="66"/>
    </row>
    <row r="4" spans="1:40" x14ac:dyDescent="0.25">
      <c r="M4" s="67"/>
    </row>
    <row r="5" spans="1:40" x14ac:dyDescent="0.25">
      <c r="T5" s="73" t="s">
        <v>131</v>
      </c>
      <c r="U5" s="72">
        <f>COUNTA(RecycleBin!#REF!)</f>
        <v>1</v>
      </c>
    </row>
    <row r="6" spans="1:40" x14ac:dyDescent="0.25">
      <c r="A6" s="33" t="s">
        <v>129</v>
      </c>
      <c r="B6" s="2"/>
      <c r="C6" s="33" t="s">
        <v>128</v>
      </c>
      <c r="D6" s="2" t="s">
        <v>617</v>
      </c>
      <c r="E6"/>
      <c r="F6"/>
      <c r="G6"/>
      <c r="H6"/>
      <c r="I6"/>
      <c r="J6"/>
      <c r="K6"/>
      <c r="L6"/>
      <c r="M6"/>
      <c r="N6"/>
      <c r="O6"/>
      <c r="P6"/>
      <c r="Q6"/>
      <c r="R6"/>
      <c r="S6"/>
      <c r="T6"/>
      <c r="U6" s="69"/>
      <c r="V6"/>
      <c r="W6"/>
      <c r="X6"/>
      <c r="Y6"/>
      <c r="Z6"/>
      <c r="AA6"/>
      <c r="AB6"/>
      <c r="AC6"/>
      <c r="AD6"/>
      <c r="AE6"/>
      <c r="AF6"/>
      <c r="AG6"/>
      <c r="AH6"/>
      <c r="AI6"/>
      <c r="AJ6"/>
      <c r="AK6"/>
      <c r="AL6"/>
      <c r="AM6"/>
      <c r="AN6"/>
    </row>
    <row r="7" spans="1:40" x14ac:dyDescent="0.25">
      <c r="A7" s="32" t="s">
        <v>0</v>
      </c>
      <c r="B7" s="2"/>
      <c r="C7" s="2"/>
      <c r="D7" s="2"/>
      <c r="E7" s="2"/>
      <c r="F7" s="2"/>
      <c r="G7" s="2"/>
      <c r="H7" s="2"/>
      <c r="I7" s="2"/>
      <c r="J7" s="2"/>
      <c r="K7" s="2"/>
      <c r="L7" s="2"/>
      <c r="M7" s="2"/>
      <c r="N7" s="2"/>
      <c r="O7" s="2"/>
      <c r="P7" s="2"/>
      <c r="Q7" s="33" t="s">
        <v>289</v>
      </c>
      <c r="R7"/>
      <c r="S7"/>
      <c r="T7"/>
      <c r="U7" s="69"/>
      <c r="V7"/>
      <c r="W7"/>
      <c r="X7"/>
      <c r="Y7"/>
      <c r="Z7"/>
      <c r="AA7"/>
      <c r="AB7"/>
      <c r="AC7"/>
      <c r="AD7"/>
      <c r="AE7"/>
      <c r="AF7"/>
      <c r="AG7"/>
      <c r="AH7"/>
      <c r="AI7"/>
      <c r="AJ7"/>
      <c r="AK7"/>
      <c r="AL7"/>
      <c r="AM7"/>
      <c r="AN7"/>
    </row>
    <row r="8" spans="1:40" x14ac:dyDescent="0.25">
      <c r="A8" s="2">
        <v>1</v>
      </c>
      <c r="B8" s="2" t="s">
        <v>49</v>
      </c>
      <c r="C8" s="2" t="s">
        <v>793</v>
      </c>
      <c r="D8" s="2"/>
      <c r="E8" s="2"/>
      <c r="F8" s="2"/>
      <c r="G8" s="2"/>
      <c r="H8" s="2"/>
      <c r="I8" s="2"/>
      <c r="J8" s="2"/>
      <c r="K8" s="2"/>
      <c r="L8" s="2"/>
      <c r="M8" s="2"/>
      <c r="N8" s="2"/>
      <c r="O8" s="2"/>
      <c r="P8" s="2"/>
      <c r="Q8" s="2" t="s">
        <v>711</v>
      </c>
      <c r="R8"/>
      <c r="S8" s="74" t="s">
        <v>40</v>
      </c>
      <c r="T8" s="3"/>
      <c r="U8" s="5"/>
      <c r="V8"/>
      <c r="W8"/>
      <c r="X8"/>
      <c r="Y8"/>
      <c r="Z8"/>
      <c r="AA8"/>
      <c r="AB8"/>
      <c r="AC8"/>
      <c r="AD8"/>
      <c r="AE8"/>
      <c r="AF8"/>
      <c r="AG8"/>
      <c r="AH8"/>
      <c r="AI8"/>
      <c r="AJ8"/>
      <c r="AK8"/>
      <c r="AL8"/>
      <c r="AM8"/>
      <c r="AN8"/>
    </row>
    <row r="9" spans="1:40"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x14ac:dyDescent="0.25">
      <c r="A10" s="2">
        <v>3</v>
      </c>
      <c r="B10" s="91" t="s">
        <v>1</v>
      </c>
      <c r="C10" s="77" t="s">
        <v>18</v>
      </c>
      <c r="D10" s="2" t="s">
        <v>100</v>
      </c>
      <c r="E10" s="2" t="s">
        <v>100</v>
      </c>
      <c r="F10" s="2" t="s">
        <v>100</v>
      </c>
      <c r="G10" s="2" t="str">
        <f>CONCATENATE("R-",Length)</f>
        <v>R-50</v>
      </c>
      <c r="H10" s="2" t="s">
        <v>100</v>
      </c>
      <c r="I10" s="2" t="s">
        <v>100</v>
      </c>
      <c r="J10" s="2" t="s">
        <v>19</v>
      </c>
      <c r="K10" s="2">
        <f>ConcreteExtrusionWidth</f>
        <v>3.75</v>
      </c>
      <c r="L10" s="2">
        <f>ConcreteExtrusionHeight</f>
        <v>3.42</v>
      </c>
      <c r="M10" s="2"/>
      <c r="N10" s="2"/>
      <c r="O10" s="2"/>
      <c r="P10" s="2"/>
      <c r="Q10" s="2" t="s">
        <v>804</v>
      </c>
      <c r="R10"/>
      <c r="S10" s="5" t="s">
        <v>87</v>
      </c>
      <c r="T10" s="5">
        <v>1</v>
      </c>
      <c r="U10" s="5" t="s">
        <v>89</v>
      </c>
      <c r="V10"/>
      <c r="W10"/>
      <c r="X10"/>
      <c r="Y10"/>
      <c r="Z10"/>
      <c r="AA10"/>
      <c r="AB10"/>
      <c r="AC10"/>
      <c r="AD10"/>
      <c r="AE10"/>
      <c r="AF10"/>
      <c r="AG10"/>
      <c r="AH10"/>
      <c r="AI10"/>
      <c r="AJ10"/>
      <c r="AK10"/>
      <c r="AL10"/>
      <c r="AM10"/>
      <c r="AN10"/>
    </row>
    <row r="11" spans="1:40" x14ac:dyDescent="0.25">
      <c r="A11" s="2">
        <v>4</v>
      </c>
      <c r="B11" s="91" t="s">
        <v>1</v>
      </c>
      <c r="C11" s="77"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x14ac:dyDescent="0.25">
      <c r="A12" s="2">
        <v>5</v>
      </c>
      <c r="B12" s="91" t="s">
        <v>1</v>
      </c>
      <c r="C12" s="77" t="s">
        <v>18</v>
      </c>
      <c r="D12" s="2" t="s">
        <v>100</v>
      </c>
      <c r="E12" s="2" t="s">
        <v>100</v>
      </c>
      <c r="F12" s="2" t="s">
        <v>100</v>
      </c>
      <c r="G12" s="2" t="str">
        <f>CONCATENATE("R",Length)</f>
        <v>R50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00" t="s">
        <v>466</v>
      </c>
      <c r="AC12" s="101" t="s">
        <v>483</v>
      </c>
      <c r="AD12" s="5" t="s">
        <v>204</v>
      </c>
      <c r="AE12" s="5" t="s">
        <v>204</v>
      </c>
      <c r="AF12" s="5" t="s">
        <v>204</v>
      </c>
      <c r="AG12" s="5" t="s">
        <v>204</v>
      </c>
      <c r="AH12" s="5" t="s">
        <v>204</v>
      </c>
      <c r="AI12"/>
      <c r="AJ12"/>
      <c r="AK12"/>
      <c r="AL12"/>
      <c r="AM12"/>
      <c r="AN12"/>
    </row>
    <row r="13" spans="1:40" x14ac:dyDescent="0.25">
      <c r="A13" s="2">
        <v>6</v>
      </c>
      <c r="B13" s="91" t="s">
        <v>1</v>
      </c>
      <c r="C13" s="77"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x14ac:dyDescent="0.25">
      <c r="A14" s="2">
        <v>7</v>
      </c>
      <c r="B14" s="91" t="s">
        <v>55</v>
      </c>
      <c r="C14" s="77" t="s">
        <v>715</v>
      </c>
      <c r="D14" s="2">
        <v>0</v>
      </c>
      <c r="E14" s="2">
        <f>-(2*ConcreteExtrusionSpacing)</f>
        <v>-8</v>
      </c>
      <c r="F14" s="2">
        <v>0</v>
      </c>
      <c r="G14" s="2">
        <f>FLOOR(Width/(2*ConcreteExtrusionSpacing),1)-1</f>
        <v>3</v>
      </c>
      <c r="H14" s="2"/>
      <c r="I14" s="2"/>
      <c r="J14" s="2"/>
      <c r="K14" s="2"/>
      <c r="L14" s="2"/>
      <c r="M14" s="2"/>
      <c r="N14" s="2"/>
      <c r="O14" s="2"/>
      <c r="P14" s="2"/>
      <c r="Q14" s="2"/>
      <c r="R14"/>
      <c r="S14" s="46"/>
      <c r="T14" s="46"/>
      <c r="U14" s="70"/>
      <c r="V14"/>
      <c r="W14"/>
      <c r="X14"/>
      <c r="Y14"/>
      <c r="Z14"/>
      <c r="AA14"/>
      <c r="AB14"/>
      <c r="AC14"/>
      <c r="AD14"/>
      <c r="AE14"/>
      <c r="AF14"/>
      <c r="AG14"/>
      <c r="AH14"/>
      <c r="AI14"/>
      <c r="AJ14"/>
      <c r="AK14"/>
      <c r="AL14"/>
      <c r="AM14"/>
      <c r="AN14"/>
    </row>
    <row r="15" spans="1:40" x14ac:dyDescent="0.25">
      <c r="A15" s="2">
        <v>8</v>
      </c>
      <c r="B15" s="111" t="s">
        <v>658</v>
      </c>
      <c r="C15" s="77" t="s">
        <v>18</v>
      </c>
      <c r="D15" s="2" t="s">
        <v>100</v>
      </c>
      <c r="E15" s="2" t="s">
        <v>100</v>
      </c>
      <c r="F15" s="2" t="s">
        <v>100</v>
      </c>
      <c r="G15" s="2" t="str">
        <f>CONCATENATE("R-",Length)</f>
        <v>R-50</v>
      </c>
      <c r="H15" s="2" t="s">
        <v>100</v>
      </c>
      <c r="I15" s="2" t="s">
        <v>100</v>
      </c>
      <c r="J15" s="2" t="s">
        <v>19</v>
      </c>
      <c r="K15" s="2">
        <f>ConcreteExtrusionWidth</f>
        <v>3.75</v>
      </c>
      <c r="L15" s="2">
        <f>ConcreteExtrusionHeight</f>
        <v>3.42</v>
      </c>
      <c r="M15" s="2"/>
      <c r="N15" s="2"/>
      <c r="O15" s="2"/>
      <c r="P15" s="2"/>
      <c r="Q15" s="2" t="s">
        <v>811</v>
      </c>
      <c r="R15"/>
      <c r="S15" s="5" t="s">
        <v>338</v>
      </c>
      <c r="T15" s="95">
        <v>0</v>
      </c>
      <c r="U15" s="5" t="s">
        <v>43</v>
      </c>
      <c r="V15" s="95">
        <v>60</v>
      </c>
      <c r="W15" s="96">
        <v>60</v>
      </c>
      <c r="X15" s="107">
        <v>60</v>
      </c>
      <c r="Y15" s="97">
        <v>60</v>
      </c>
      <c r="Z15" s="99">
        <v>60</v>
      </c>
      <c r="AA15" s="100">
        <v>60</v>
      </c>
      <c r="AB15" s="100">
        <v>60</v>
      </c>
      <c r="AC15" s="104">
        <v>60</v>
      </c>
      <c r="AD15" s="105">
        <v>60</v>
      </c>
      <c r="AE15" s="106">
        <v>60</v>
      </c>
      <c r="AF15" s="108">
        <v>60</v>
      </c>
      <c r="AG15" s="102">
        <v>60</v>
      </c>
      <c r="AH15" s="109">
        <v>60</v>
      </c>
      <c r="AI15"/>
      <c r="AJ15"/>
      <c r="AK15"/>
      <c r="AL15"/>
      <c r="AM15"/>
      <c r="AN15"/>
    </row>
    <row r="16" spans="1:40" x14ac:dyDescent="0.25">
      <c r="A16" s="2">
        <v>9</v>
      </c>
      <c r="B16" s="91"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x14ac:dyDescent="0.25">
      <c r="A17" s="2">
        <v>10</v>
      </c>
      <c r="B17" s="91" t="s">
        <v>1</v>
      </c>
      <c r="C17" s="77"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805</v>
      </c>
      <c r="R17"/>
      <c r="S17" s="5" t="s">
        <v>86</v>
      </c>
      <c r="T17" s="5">
        <v>3000</v>
      </c>
      <c r="U17" s="5" t="s">
        <v>45</v>
      </c>
      <c r="V17"/>
      <c r="W17"/>
      <c r="X17"/>
      <c r="Y17"/>
      <c r="Z17"/>
      <c r="AA17"/>
      <c r="AB17"/>
      <c r="AC17"/>
      <c r="AD17"/>
      <c r="AE17"/>
      <c r="AF17"/>
      <c r="AG17"/>
      <c r="AH17"/>
      <c r="AI17"/>
      <c r="AJ17"/>
      <c r="AK17"/>
      <c r="AL17"/>
      <c r="AM17"/>
      <c r="AN17"/>
    </row>
    <row r="18" spans="1:40" x14ac:dyDescent="0.25">
      <c r="A18" s="2">
        <v>11</v>
      </c>
      <c r="B18" s="91" t="s">
        <v>1</v>
      </c>
      <c r="C18" s="77" t="s">
        <v>18</v>
      </c>
      <c r="D18" s="2" t="s">
        <v>100</v>
      </c>
      <c r="E18" s="2" t="s">
        <v>100</v>
      </c>
      <c r="F18" s="2" t="s">
        <v>100</v>
      </c>
      <c r="G18" s="2" t="str">
        <f>CONCATENATE("R-",Length)</f>
        <v>R-50</v>
      </c>
      <c r="H18" s="2" t="s">
        <v>100</v>
      </c>
      <c r="I18" s="2" t="s">
        <v>100</v>
      </c>
      <c r="J18" s="2" t="s">
        <v>19</v>
      </c>
      <c r="K18" s="2">
        <f>ConcreteExtrusionWidth</f>
        <v>3.75</v>
      </c>
      <c r="L18" s="2">
        <f>ConcreteExtrusionHeight</f>
        <v>3.42</v>
      </c>
      <c r="M18" s="2"/>
      <c r="N18" s="2"/>
      <c r="O18" s="2"/>
      <c r="P18" s="2"/>
      <c r="Q18" s="2"/>
      <c r="R18"/>
      <c r="S18" s="5" t="s">
        <v>41</v>
      </c>
      <c r="T18" s="95">
        <v>0</v>
      </c>
      <c r="U18" s="5" t="s">
        <v>43</v>
      </c>
      <c r="V18" s="95">
        <v>210</v>
      </c>
      <c r="W18" s="96">
        <v>210</v>
      </c>
      <c r="X18" s="107">
        <v>210</v>
      </c>
      <c r="Y18" s="97">
        <v>215</v>
      </c>
      <c r="Z18" s="99">
        <v>220</v>
      </c>
      <c r="AA18" s="100">
        <v>210</v>
      </c>
      <c r="AB18" s="100">
        <v>210</v>
      </c>
      <c r="AC18" s="104">
        <v>210</v>
      </c>
      <c r="AD18" s="105">
        <v>210</v>
      </c>
      <c r="AE18" s="106">
        <v>210</v>
      </c>
      <c r="AF18" s="108">
        <v>210</v>
      </c>
      <c r="AG18" s="102">
        <v>210</v>
      </c>
      <c r="AH18" s="109">
        <v>210</v>
      </c>
      <c r="AI18"/>
      <c r="AJ18"/>
      <c r="AK18"/>
      <c r="AL18"/>
      <c r="AM18"/>
      <c r="AN18"/>
    </row>
    <row r="19" spans="1:40" x14ac:dyDescent="0.25">
      <c r="A19" s="2">
        <v>12</v>
      </c>
      <c r="B19" s="91" t="s">
        <v>1</v>
      </c>
      <c r="C19" s="77"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95">
        <v>40</v>
      </c>
      <c r="U19" s="5" t="s">
        <v>44</v>
      </c>
      <c r="V19" s="95">
        <v>2.85</v>
      </c>
      <c r="W19" s="96">
        <v>1.75</v>
      </c>
      <c r="X19" s="107">
        <v>1.75</v>
      </c>
      <c r="Y19" s="98">
        <v>1.75</v>
      </c>
      <c r="Z19" s="99">
        <v>1.75</v>
      </c>
      <c r="AA19" s="100">
        <v>1.75</v>
      </c>
      <c r="AB19" s="100">
        <v>1.75</v>
      </c>
      <c r="AC19" s="104">
        <v>1.75</v>
      </c>
      <c r="AD19" s="105">
        <v>1.75</v>
      </c>
      <c r="AE19" s="106">
        <v>1.75</v>
      </c>
      <c r="AF19" s="108">
        <v>1.75</v>
      </c>
      <c r="AG19" s="102">
        <v>2.85</v>
      </c>
      <c r="AH19" s="109">
        <v>1.75</v>
      </c>
      <c r="AI19"/>
      <c r="AJ19"/>
      <c r="AK19"/>
      <c r="AL19"/>
      <c r="AM19"/>
      <c r="AN19"/>
    </row>
    <row r="20" spans="1:40" x14ac:dyDescent="0.25">
      <c r="A20" s="2">
        <v>13</v>
      </c>
      <c r="B20" s="91" t="s">
        <v>1</v>
      </c>
      <c r="C20" s="77" t="s">
        <v>18</v>
      </c>
      <c r="D20" s="2" t="s">
        <v>100</v>
      </c>
      <c r="E20" s="2" t="s">
        <v>100</v>
      </c>
      <c r="F20" s="2" t="s">
        <v>100</v>
      </c>
      <c r="G20" s="2" t="str">
        <f>CONCATENATE("R",Length)</f>
        <v>R50</v>
      </c>
      <c r="H20" s="2" t="s">
        <v>100</v>
      </c>
      <c r="I20" s="2" t="s">
        <v>100</v>
      </c>
      <c r="J20" s="2" t="s">
        <v>19</v>
      </c>
      <c r="K20" s="2">
        <f>ConcreteExtrusionWidth</f>
        <v>3.75</v>
      </c>
      <c r="L20" s="2">
        <f>ConcreteExtrusionHeight</f>
        <v>3.42</v>
      </c>
      <c r="M20" s="2"/>
      <c r="N20" s="2"/>
      <c r="O20" s="2"/>
      <c r="P20" s="2"/>
      <c r="Q20" s="2"/>
      <c r="R20"/>
      <c r="S20" s="5" t="s">
        <v>46</v>
      </c>
      <c r="T20" s="95">
        <v>33</v>
      </c>
      <c r="U20" s="5" t="s">
        <v>90</v>
      </c>
      <c r="V20" s="95" t="s">
        <v>82</v>
      </c>
      <c r="W20" s="96" t="s">
        <v>44</v>
      </c>
      <c r="X20" s="107" t="s">
        <v>44</v>
      </c>
      <c r="Y20" s="98" t="s">
        <v>44</v>
      </c>
      <c r="Z20" s="99" t="s">
        <v>44</v>
      </c>
      <c r="AA20" s="100" t="s">
        <v>44</v>
      </c>
      <c r="AB20" s="100" t="s">
        <v>44</v>
      </c>
      <c r="AC20" s="104" t="s">
        <v>44</v>
      </c>
      <c r="AD20" s="105" t="s">
        <v>44</v>
      </c>
      <c r="AE20" s="106" t="s">
        <v>44</v>
      </c>
      <c r="AF20" s="108" t="s">
        <v>44</v>
      </c>
      <c r="AG20" s="102" t="s">
        <v>82</v>
      </c>
      <c r="AH20" s="109" t="s">
        <v>44</v>
      </c>
      <c r="AI20"/>
      <c r="AJ20"/>
      <c r="AK20"/>
      <c r="AL20"/>
      <c r="AM20"/>
      <c r="AN20"/>
    </row>
    <row r="21" spans="1:40" x14ac:dyDescent="0.25">
      <c r="A21" s="2">
        <v>14</v>
      </c>
      <c r="B21" s="91" t="s">
        <v>55</v>
      </c>
      <c r="C21" s="77" t="s">
        <v>812</v>
      </c>
      <c r="D21" s="2">
        <v>0</v>
      </c>
      <c r="E21" s="2">
        <f>(2*ConcreteExtrusionSpacing)</f>
        <v>8</v>
      </c>
      <c r="F21" s="2">
        <v>0</v>
      </c>
      <c r="G21" s="2">
        <f>FLOOR(Width/(2*ConcreteExtrusionSpacing),1)-1</f>
        <v>3</v>
      </c>
      <c r="H21" s="2"/>
      <c r="I21" s="2"/>
      <c r="J21" s="2"/>
      <c r="K21" s="2"/>
      <c r="L21" s="2"/>
      <c r="M21" s="2"/>
      <c r="N21" s="2"/>
      <c r="O21" s="2"/>
      <c r="P21" s="2"/>
      <c r="Q21" s="2"/>
      <c r="R21"/>
      <c r="S21" s="5" t="s">
        <v>108</v>
      </c>
      <c r="T21" s="95" t="s">
        <v>635</v>
      </c>
      <c r="U21" s="5"/>
      <c r="V21" s="95" t="s">
        <v>153</v>
      </c>
      <c r="W21" s="96" t="s">
        <v>394</v>
      </c>
      <c r="X21" s="107" t="s">
        <v>393</v>
      </c>
      <c r="Y21" s="23" t="s">
        <v>455</v>
      </c>
      <c r="Z21" s="99" t="s">
        <v>425</v>
      </c>
      <c r="AA21" s="100" t="s">
        <v>465</v>
      </c>
      <c r="AB21" s="100" t="s">
        <v>466</v>
      </c>
      <c r="AC21" s="104" t="s">
        <v>489</v>
      </c>
      <c r="AD21" s="105" t="s">
        <v>504</v>
      </c>
      <c r="AE21" s="106" t="s">
        <v>554</v>
      </c>
      <c r="AF21" s="108" t="s">
        <v>558</v>
      </c>
      <c r="AG21" s="102" t="s">
        <v>591</v>
      </c>
      <c r="AH21" s="109" t="s">
        <v>592</v>
      </c>
      <c r="AI21"/>
      <c r="AJ21"/>
      <c r="AK21"/>
      <c r="AL21"/>
      <c r="AM21"/>
      <c r="AN21"/>
    </row>
    <row r="22" spans="1:40" x14ac:dyDescent="0.25">
      <c r="A22" s="2">
        <v>15</v>
      </c>
      <c r="B22" s="91" t="s">
        <v>39</v>
      </c>
      <c r="C22" s="2">
        <v>0</v>
      </c>
      <c r="D22" s="2">
        <v>0</v>
      </c>
      <c r="E22" s="2">
        <f>ConcreteLayerHeight</f>
        <v>2.7</v>
      </c>
      <c r="F22" s="2">
        <v>6000</v>
      </c>
      <c r="G22" s="2"/>
      <c r="H22" s="2"/>
      <c r="I22" s="2"/>
      <c r="J22" s="2"/>
      <c r="K22" s="2"/>
      <c r="L22" s="2"/>
      <c r="M22" s="2"/>
      <c r="N22" s="2"/>
      <c r="O22" s="2"/>
      <c r="P22" s="2"/>
      <c r="Q22" s="2"/>
      <c r="R22"/>
      <c r="S22" s="5" t="s">
        <v>152</v>
      </c>
      <c r="T22" s="95" t="s">
        <v>635</v>
      </c>
      <c r="U22" s="5"/>
      <c r="V22" s="95" t="s">
        <v>125</v>
      </c>
      <c r="W22" s="96" t="s">
        <v>394</v>
      </c>
      <c r="X22" s="107" t="s">
        <v>393</v>
      </c>
      <c r="Y22" s="23" t="s">
        <v>455</v>
      </c>
      <c r="Z22" s="99" t="s">
        <v>425</v>
      </c>
      <c r="AA22" s="100" t="s">
        <v>465</v>
      </c>
      <c r="AB22" s="100" t="s">
        <v>466</v>
      </c>
      <c r="AC22" s="104" t="s">
        <v>489</v>
      </c>
      <c r="AD22" s="105" t="s">
        <v>504</v>
      </c>
      <c r="AE22" s="106" t="s">
        <v>554</v>
      </c>
      <c r="AF22" s="108" t="s">
        <v>558</v>
      </c>
      <c r="AG22" s="102" t="s">
        <v>591</v>
      </c>
      <c r="AH22" s="109" t="s">
        <v>592</v>
      </c>
      <c r="AI22"/>
      <c r="AJ22"/>
      <c r="AK22"/>
      <c r="AL22"/>
      <c r="AM22"/>
      <c r="AN22"/>
    </row>
    <row r="23" spans="1:40" x14ac:dyDescent="0.25">
      <c r="A23" s="2">
        <v>16</v>
      </c>
      <c r="B23" s="91" t="s">
        <v>55</v>
      </c>
      <c r="C23" s="77" t="s">
        <v>841</v>
      </c>
      <c r="D23" s="2">
        <v>0</v>
      </c>
      <c r="E23" s="2">
        <v>0</v>
      </c>
      <c r="F23" s="2">
        <f>2*ConcreteLayerHeight</f>
        <v>5.4</v>
      </c>
      <c r="G23" s="2">
        <f>FLOOR(Height/(2*ConcreteLayerHeight),1)-1</f>
        <v>0</v>
      </c>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x14ac:dyDescent="0.25">
      <c r="A24" s="2">
        <v>17</v>
      </c>
      <c r="B24" s="91" t="s">
        <v>1</v>
      </c>
      <c r="C24" s="2" t="s">
        <v>18</v>
      </c>
      <c r="D24" s="2" t="s">
        <v>100</v>
      </c>
      <c r="E24" s="2" t="s">
        <v>100</v>
      </c>
      <c r="F24" s="2" t="s">
        <v>100</v>
      </c>
      <c r="G24" s="2" t="str">
        <f>CONCATENATE("R", 2*ConcreteExtrusionSpacing)</f>
        <v>R8</v>
      </c>
      <c r="H24" s="2" t="s">
        <v>100</v>
      </c>
      <c r="I24" s="2" t="str">
        <f>CONCATENATE("R", 2*ConcreteLayerHeight)</f>
        <v>R5.4</v>
      </c>
      <c r="J24" s="2" t="s">
        <v>23</v>
      </c>
      <c r="K24" s="2">
        <f>ConcreteExtrusionWidth</f>
        <v>3.75</v>
      </c>
      <c r="L24" s="2">
        <f>ConcreteExtrusionHeight</f>
        <v>3.42</v>
      </c>
      <c r="M24" s="2"/>
      <c r="N24" s="2"/>
      <c r="O24" s="2"/>
      <c r="P24" s="2"/>
      <c r="Q24" s="2" t="s">
        <v>796</v>
      </c>
      <c r="R24"/>
      <c r="S24" s="5" t="s">
        <v>168</v>
      </c>
      <c r="T24" s="5">
        <f>ConcretePrimeY</f>
        <v>125</v>
      </c>
      <c r="U24" s="5" t="s">
        <v>44</v>
      </c>
      <c r="V24"/>
      <c r="W24"/>
      <c r="X24"/>
      <c r="Y24"/>
      <c r="Z24"/>
      <c r="AA24"/>
      <c r="AB24"/>
      <c r="AC24"/>
      <c r="AD24"/>
      <c r="AE24"/>
      <c r="AF24"/>
      <c r="AG24"/>
      <c r="AH24"/>
      <c r="AI24"/>
      <c r="AJ24"/>
      <c r="AK24"/>
      <c r="AL24"/>
      <c r="AM24"/>
      <c r="AN24"/>
    </row>
    <row r="25" spans="1:40" x14ac:dyDescent="0.25">
      <c r="A25" s="2">
        <v>18</v>
      </c>
      <c r="B25" s="91" t="s">
        <v>1</v>
      </c>
      <c r="C25" s="2" t="s">
        <v>18</v>
      </c>
      <c r="D25" s="2" t="s">
        <v>100</v>
      </c>
      <c r="E25" s="2" t="s">
        <v>100</v>
      </c>
      <c r="F25" s="2" t="s">
        <v>100</v>
      </c>
      <c r="G25" s="2" t="s">
        <v>100</v>
      </c>
      <c r="H25" s="2" t="str">
        <f>CONCATENATE("R", 2*ConcreteExtrusionSpacing+Width)</f>
        <v>R40</v>
      </c>
      <c r="I25" s="2" t="s">
        <v>100</v>
      </c>
      <c r="J25" s="2" t="s">
        <v>23</v>
      </c>
      <c r="K25" s="2">
        <f>ConcreteExtrusionWidth</f>
        <v>3.75</v>
      </c>
      <c r="L25" s="2">
        <f>ConcreteExtrusionHeight</f>
        <v>3.42</v>
      </c>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x14ac:dyDescent="0.25">
      <c r="A26" s="2">
        <v>19</v>
      </c>
      <c r="B26" s="91"/>
      <c r="C26" s="77"/>
      <c r="D26" s="2"/>
      <c r="E26" s="2"/>
      <c r="F26" s="113"/>
      <c r="G26" s="2"/>
      <c r="H26" s="2"/>
      <c r="I26" s="114"/>
      <c r="J26" s="2"/>
      <c r="K26" s="2"/>
      <c r="L26" s="2"/>
      <c r="M26" s="2"/>
      <c r="N26" s="2"/>
      <c r="O26" s="2"/>
      <c r="P26" s="2"/>
      <c r="Q26" s="2"/>
      <c r="R26"/>
      <c r="S26" s="62" t="s">
        <v>339</v>
      </c>
      <c r="T26" s="5">
        <v>0</v>
      </c>
      <c r="U26" s="5"/>
      <c r="V26" s="1"/>
      <c r="W26"/>
      <c r="X26"/>
      <c r="Y26"/>
      <c r="Z26"/>
      <c r="AA26"/>
      <c r="AB26"/>
      <c r="AC26"/>
      <c r="AD26"/>
      <c r="AE26"/>
      <c r="AF26"/>
      <c r="AG26"/>
      <c r="AH26"/>
      <c r="AI26"/>
      <c r="AJ26"/>
      <c r="AK26"/>
      <c r="AL26"/>
      <c r="AM26"/>
      <c r="AN26"/>
    </row>
    <row r="27" spans="1:40" x14ac:dyDescent="0.25">
      <c r="A27" s="2">
        <v>20</v>
      </c>
      <c r="B27" s="91"/>
      <c r="C27" s="77"/>
      <c r="D27" s="2"/>
      <c r="E27" s="2"/>
      <c r="F27" s="114"/>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x14ac:dyDescent="0.25">
      <c r="A28" s="2">
        <v>21</v>
      </c>
      <c r="B28" s="91"/>
      <c r="C28" s="77"/>
      <c r="D28" s="2"/>
      <c r="E28" s="2"/>
      <c r="F28" s="114"/>
      <c r="G28" s="2"/>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x14ac:dyDescent="0.25">
      <c r="A29" s="2">
        <v>22</v>
      </c>
      <c r="B29" s="91"/>
      <c r="C29" s="77"/>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x14ac:dyDescent="0.25">
      <c r="A30" s="2">
        <v>23</v>
      </c>
      <c r="B30" s="91"/>
      <c r="C30" s="77"/>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x14ac:dyDescent="0.25">
      <c r="A31" s="2">
        <v>24</v>
      </c>
      <c r="B31" s="91"/>
      <c r="C31" s="77"/>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x14ac:dyDescent="0.25">
      <c r="A32" s="2">
        <v>25</v>
      </c>
      <c r="B32" s="91"/>
      <c r="C32" s="77"/>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x14ac:dyDescent="0.25">
      <c r="A33" s="2">
        <v>26</v>
      </c>
      <c r="B33" s="91"/>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x14ac:dyDescent="0.25">
      <c r="A34" s="2">
        <v>27</v>
      </c>
      <c r="B34" s="91"/>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91"/>
      <c r="C35" s="2"/>
      <c r="D35" s="2"/>
      <c r="E35" s="2"/>
      <c r="F35" s="2"/>
      <c r="G35" s="2"/>
      <c r="H35" s="2"/>
      <c r="I35" s="2"/>
      <c r="J35" s="2"/>
      <c r="K35" s="2"/>
      <c r="L35" s="2"/>
      <c r="M35" s="2"/>
      <c r="N35" s="2"/>
      <c r="O35" s="2"/>
      <c r="P35" s="2"/>
      <c r="Q35" s="2"/>
      <c r="R35"/>
      <c r="S35"/>
      <c r="T35"/>
      <c r="U35" s="69"/>
      <c r="V35"/>
      <c r="W35"/>
      <c r="X35"/>
      <c r="Y35"/>
      <c r="Z35"/>
      <c r="AA35"/>
      <c r="AB35"/>
      <c r="AC35"/>
      <c r="AD35"/>
      <c r="AE35"/>
      <c r="AF35"/>
      <c r="AG35"/>
      <c r="AH35"/>
      <c r="AI35"/>
      <c r="AJ35"/>
      <c r="AK35"/>
      <c r="AL35"/>
      <c r="AM35"/>
      <c r="AN35"/>
    </row>
    <row r="36" spans="1:40" x14ac:dyDescent="0.25">
      <c r="A36" s="2">
        <v>29</v>
      </c>
      <c r="B36" s="2"/>
      <c r="C36" s="2"/>
      <c r="D36" s="2"/>
      <c r="E36" s="2"/>
      <c r="F36" s="2"/>
      <c r="G36" s="2"/>
      <c r="H36" s="2"/>
      <c r="I36" s="2"/>
      <c r="J36" s="2"/>
      <c r="K36" s="2"/>
      <c r="L36" s="2"/>
      <c r="M36" s="2"/>
      <c r="N36" s="2"/>
      <c r="O36" s="2"/>
      <c r="P36" s="2"/>
      <c r="Q36" s="2"/>
      <c r="R36"/>
      <c r="S36" s="75" t="s">
        <v>292</v>
      </c>
      <c r="T36" s="75" t="s">
        <v>293</v>
      </c>
      <c r="U36" s="76" t="s">
        <v>331</v>
      </c>
      <c r="V36"/>
      <c r="W36"/>
      <c r="X36"/>
      <c r="Y36"/>
      <c r="Z36"/>
      <c r="AA36"/>
      <c r="AB36"/>
      <c r="AC36"/>
      <c r="AD36"/>
      <c r="AE36"/>
      <c r="AF36"/>
      <c r="AG36"/>
      <c r="AH36"/>
      <c r="AI36"/>
      <c r="AJ36"/>
      <c r="AK36"/>
      <c r="AL36"/>
      <c r="AM36"/>
      <c r="AN36"/>
    </row>
    <row r="37" spans="1:40" x14ac:dyDescent="0.25">
      <c r="A37" s="2">
        <v>30</v>
      </c>
      <c r="B37" s="2"/>
      <c r="C37" s="2"/>
      <c r="D37" s="2"/>
      <c r="E37" s="2"/>
      <c r="F37" s="2"/>
      <c r="G37" s="2"/>
      <c r="H37" s="2"/>
      <c r="I37" s="2"/>
      <c r="J37" s="2"/>
      <c r="K37" s="2"/>
      <c r="L37" s="2"/>
      <c r="M37" s="2"/>
      <c r="N37" s="2"/>
      <c r="O37" s="2"/>
      <c r="P37" s="2"/>
      <c r="Q37" s="2"/>
      <c r="R37"/>
      <c r="S37" s="59" t="s">
        <v>699</v>
      </c>
      <c r="T37" s="59">
        <v>4</v>
      </c>
      <c r="U37" s="71">
        <v>5</v>
      </c>
      <c r="V37"/>
      <c r="W37"/>
      <c r="X37"/>
      <c r="Y37"/>
      <c r="Z37"/>
      <c r="AA37"/>
      <c r="AB37"/>
      <c r="AC37"/>
      <c r="AD37"/>
      <c r="AE37"/>
      <c r="AF37"/>
      <c r="AG37"/>
      <c r="AH37"/>
      <c r="AI37"/>
      <c r="AJ37"/>
      <c r="AK37"/>
      <c r="AL37"/>
      <c r="AM37"/>
      <c r="AN37"/>
    </row>
    <row r="38" spans="1:40" x14ac:dyDescent="0.25">
      <c r="A38" s="2">
        <v>31</v>
      </c>
      <c r="B38" s="91"/>
      <c r="C38" s="77"/>
      <c r="D38" s="2"/>
      <c r="E38" s="2"/>
      <c r="F38" s="2"/>
      <c r="G38" s="2"/>
      <c r="H38" s="2"/>
      <c r="I38" s="2"/>
      <c r="J38" s="2"/>
      <c r="K38" s="2"/>
      <c r="L38" s="2"/>
      <c r="M38" s="2"/>
      <c r="N38" s="2"/>
      <c r="O38" s="2"/>
      <c r="P38" s="2"/>
      <c r="Q38" s="2"/>
      <c r="R38"/>
      <c r="S38" s="59" t="s">
        <v>703</v>
      </c>
      <c r="T38" s="59">
        <v>4</v>
      </c>
      <c r="U38" s="71">
        <v>3.2</v>
      </c>
      <c r="V38"/>
      <c r="W38"/>
      <c r="X38"/>
      <c r="Y38"/>
      <c r="Z38"/>
      <c r="AA38"/>
      <c r="AB38"/>
      <c r="AC38"/>
      <c r="AD38"/>
      <c r="AE38"/>
      <c r="AF38"/>
      <c r="AG38"/>
      <c r="AH38"/>
      <c r="AI38"/>
      <c r="AJ38"/>
      <c r="AK38"/>
      <c r="AL38"/>
      <c r="AM38"/>
      <c r="AN38"/>
    </row>
    <row r="39" spans="1:40" x14ac:dyDescent="0.25">
      <c r="A39" s="2">
        <v>32</v>
      </c>
      <c r="B39" s="91"/>
      <c r="C39" s="77"/>
      <c r="D39" s="2"/>
      <c r="E39" s="2"/>
      <c r="F39" s="2"/>
      <c r="G39" s="2"/>
      <c r="H39" s="2"/>
      <c r="I39" s="2"/>
      <c r="J39" s="2"/>
      <c r="K39" s="2"/>
      <c r="L39" s="2"/>
      <c r="M39" s="2"/>
      <c r="N39" s="2"/>
      <c r="O39" s="2"/>
      <c r="P39" s="2"/>
      <c r="Q39" s="2"/>
      <c r="S39" s="71" t="s">
        <v>700</v>
      </c>
      <c r="T39" s="71">
        <v>3.75</v>
      </c>
      <c r="U39" s="71" t="s">
        <v>109</v>
      </c>
    </row>
    <row r="40" spans="1:40" x14ac:dyDescent="0.25">
      <c r="A40" s="2">
        <v>33</v>
      </c>
      <c r="B40" s="91"/>
      <c r="C40" s="77"/>
      <c r="D40" s="2"/>
      <c r="E40" s="2"/>
      <c r="F40" s="2"/>
      <c r="G40" s="2"/>
      <c r="H40" s="2"/>
      <c r="I40" s="2"/>
      <c r="J40" s="2"/>
      <c r="K40" s="2"/>
      <c r="L40" s="2"/>
      <c r="M40" s="2"/>
      <c r="N40" s="2"/>
      <c r="O40" s="2"/>
      <c r="P40" s="2"/>
      <c r="Q40" s="2"/>
      <c r="S40" s="71" t="s">
        <v>704</v>
      </c>
      <c r="T40" s="71">
        <v>3.75</v>
      </c>
      <c r="U40" s="71" t="s">
        <v>109</v>
      </c>
    </row>
    <row r="41" spans="1:40" x14ac:dyDescent="0.25">
      <c r="A41" s="2">
        <v>34</v>
      </c>
      <c r="B41" s="91"/>
      <c r="C41" s="77"/>
      <c r="D41" s="2"/>
      <c r="E41" s="2"/>
      <c r="F41" s="2"/>
      <c r="G41" s="2"/>
      <c r="H41" s="2"/>
      <c r="I41" s="2"/>
      <c r="J41" s="2"/>
      <c r="K41" s="2"/>
      <c r="L41" s="2"/>
      <c r="M41" s="2"/>
      <c r="N41" s="2"/>
      <c r="O41" s="2"/>
      <c r="P41" s="2"/>
      <c r="Q41" s="2"/>
      <c r="S41" s="71" t="s">
        <v>701</v>
      </c>
      <c r="T41" s="71">
        <v>3.42</v>
      </c>
      <c r="U41" s="71" t="s">
        <v>109</v>
      </c>
    </row>
    <row r="42" spans="1:40" x14ac:dyDescent="0.25">
      <c r="A42" s="2">
        <v>35</v>
      </c>
      <c r="B42" s="91"/>
      <c r="C42" s="77"/>
      <c r="D42" s="2"/>
      <c r="E42" s="2"/>
      <c r="F42" s="2"/>
      <c r="G42" s="2"/>
      <c r="H42" s="2"/>
      <c r="I42" s="2"/>
      <c r="J42" s="2"/>
      <c r="K42" s="2"/>
      <c r="L42" s="2"/>
      <c r="M42" s="2"/>
      <c r="N42" s="2"/>
      <c r="O42" s="2"/>
      <c r="P42" s="2"/>
      <c r="Q42" s="2"/>
      <c r="S42" s="71" t="s">
        <v>705</v>
      </c>
      <c r="T42" s="59">
        <f>3*0.728951</f>
        <v>2.1868530000000002</v>
      </c>
      <c r="U42" s="71" t="s">
        <v>109</v>
      </c>
    </row>
    <row r="43" spans="1:40" x14ac:dyDescent="0.25">
      <c r="A43" s="2">
        <v>36</v>
      </c>
      <c r="B43" s="91"/>
      <c r="C43" s="2"/>
      <c r="D43" s="2"/>
      <c r="E43" s="2"/>
      <c r="F43" s="2"/>
      <c r="G43" s="2"/>
      <c r="H43" s="2"/>
      <c r="I43" s="2"/>
      <c r="J43" s="2"/>
      <c r="K43" s="2"/>
      <c r="L43" s="2"/>
      <c r="M43" s="2"/>
      <c r="N43" s="2"/>
      <c r="O43" s="2"/>
      <c r="P43" s="2"/>
      <c r="Q43" s="2"/>
      <c r="S43" s="59" t="s">
        <v>644</v>
      </c>
      <c r="T43" s="59" t="s">
        <v>499</v>
      </c>
      <c r="U43" s="71" t="s">
        <v>109</v>
      </c>
    </row>
    <row r="44" spans="1:40" x14ac:dyDescent="0.25">
      <c r="A44" s="2">
        <v>37</v>
      </c>
      <c r="B44" s="91"/>
      <c r="C44" s="2"/>
      <c r="D44" s="2"/>
      <c r="E44" s="2"/>
      <c r="F44" s="2"/>
      <c r="G44" s="2"/>
      <c r="H44" s="2"/>
      <c r="I44" s="2"/>
      <c r="J44" s="2"/>
      <c r="K44" s="2"/>
      <c r="L44" s="2"/>
      <c r="M44" s="2"/>
      <c r="N44" s="2"/>
      <c r="O44" s="2"/>
      <c r="P44" s="2"/>
      <c r="Q44" s="2"/>
      <c r="S44" s="59" t="s">
        <v>702</v>
      </c>
      <c r="T44" s="59">
        <v>2.7</v>
      </c>
      <c r="U44" s="71" t="s">
        <v>109</v>
      </c>
    </row>
    <row r="45" spans="1:40" x14ac:dyDescent="0.25">
      <c r="A45" s="2">
        <v>38</v>
      </c>
      <c r="B45" s="91"/>
      <c r="C45" s="77"/>
      <c r="D45" s="2"/>
      <c r="E45" s="2"/>
      <c r="F45" s="2"/>
      <c r="G45" s="2"/>
      <c r="H45" s="2"/>
      <c r="I45" s="2"/>
      <c r="J45" s="2"/>
      <c r="K45" s="2"/>
      <c r="L45" s="2"/>
      <c r="M45" s="2"/>
      <c r="N45" s="2"/>
      <c r="O45" s="2"/>
      <c r="P45" s="2"/>
      <c r="Q45" s="2"/>
      <c r="S45" s="59" t="s">
        <v>706</v>
      </c>
      <c r="T45" s="59">
        <v>2.7</v>
      </c>
      <c r="U45" s="71" t="s">
        <v>109</v>
      </c>
    </row>
    <row r="46" spans="1:40" x14ac:dyDescent="0.25">
      <c r="A46" s="2">
        <v>39</v>
      </c>
      <c r="B46" s="91"/>
      <c r="C46" s="2"/>
      <c r="D46" s="2"/>
      <c r="E46" s="2"/>
      <c r="F46" s="2"/>
      <c r="G46" s="2"/>
      <c r="H46" s="2"/>
      <c r="I46" s="2"/>
      <c r="J46" s="2"/>
      <c r="K46" s="2"/>
      <c r="L46" s="2"/>
      <c r="M46" s="2"/>
      <c r="N46" s="2"/>
      <c r="O46" s="2"/>
      <c r="P46" s="2"/>
      <c r="Q46" s="2"/>
      <c r="S46" s="59" t="s">
        <v>678</v>
      </c>
      <c r="T46" s="59">
        <v>50</v>
      </c>
      <c r="U46" s="71" t="s">
        <v>109</v>
      </c>
    </row>
    <row r="47" spans="1:40" x14ac:dyDescent="0.25">
      <c r="A47" s="2">
        <v>40</v>
      </c>
      <c r="B47" s="91"/>
      <c r="C47" s="2"/>
      <c r="D47" s="2"/>
      <c r="E47" s="2"/>
      <c r="F47" s="2"/>
      <c r="G47" s="2"/>
      <c r="H47" s="2"/>
      <c r="I47" s="2"/>
      <c r="J47" s="2"/>
      <c r="K47" s="2"/>
      <c r="L47" s="2"/>
      <c r="M47" s="2"/>
      <c r="N47" s="2"/>
      <c r="O47" s="2"/>
      <c r="P47" s="2"/>
      <c r="Q47" s="2"/>
      <c r="S47" s="59" t="s">
        <v>179</v>
      </c>
      <c r="T47" s="59">
        <v>32</v>
      </c>
      <c r="U47" s="71" t="s">
        <v>109</v>
      </c>
    </row>
    <row r="48" spans="1:40" x14ac:dyDescent="0.25">
      <c r="A48" s="2">
        <v>41</v>
      </c>
      <c r="B48" s="91"/>
      <c r="C48" s="77"/>
      <c r="D48" s="2"/>
      <c r="E48" s="2"/>
      <c r="F48" s="2"/>
      <c r="G48" s="2"/>
      <c r="H48" s="2"/>
      <c r="I48" s="2"/>
      <c r="J48" s="2"/>
      <c r="K48" s="2"/>
      <c r="L48" s="2"/>
      <c r="M48" s="2"/>
      <c r="N48" s="2"/>
      <c r="O48" s="2"/>
      <c r="P48" s="2"/>
      <c r="Q48" s="2"/>
      <c r="S48" s="59" t="s">
        <v>180</v>
      </c>
      <c r="T48" s="59">
        <f>ConcreteLayerHeight*2</f>
        <v>5.4</v>
      </c>
      <c r="U48" s="71" t="s">
        <v>109</v>
      </c>
    </row>
    <row r="49" spans="1:21" x14ac:dyDescent="0.25">
      <c r="A49" s="2">
        <v>42</v>
      </c>
      <c r="B49" s="91"/>
      <c r="C49" s="77"/>
      <c r="D49" s="2"/>
      <c r="E49" s="2"/>
      <c r="F49" s="2"/>
      <c r="G49" s="2"/>
      <c r="H49" s="2"/>
      <c r="I49" s="2"/>
      <c r="J49" s="2"/>
      <c r="K49" s="2"/>
      <c r="L49" s="2"/>
      <c r="M49" s="2"/>
      <c r="N49" s="2"/>
      <c r="O49" s="2"/>
      <c r="P49" s="2"/>
      <c r="Q49" s="2"/>
      <c r="S49" s="59" t="s">
        <v>271</v>
      </c>
      <c r="T49" s="59">
        <f>275</f>
        <v>275</v>
      </c>
      <c r="U49" s="71" t="s">
        <v>109</v>
      </c>
    </row>
    <row r="50" spans="1:21" x14ac:dyDescent="0.25">
      <c r="A50" s="2">
        <v>43</v>
      </c>
      <c r="B50" s="91"/>
      <c r="C50" s="77"/>
      <c r="D50" s="2"/>
      <c r="E50" s="2"/>
      <c r="F50" s="2"/>
      <c r="G50" s="2"/>
      <c r="H50" s="2"/>
      <c r="I50" s="2"/>
      <c r="J50" s="2"/>
      <c r="K50" s="2"/>
      <c r="L50" s="2"/>
      <c r="M50" s="2"/>
      <c r="N50" s="2"/>
      <c r="O50" s="2"/>
      <c r="P50" s="2"/>
      <c r="Q50" s="2"/>
      <c r="S50" s="59" t="s">
        <v>272</v>
      </c>
      <c r="T50" s="59">
        <v>100</v>
      </c>
      <c r="U50" s="71" t="s">
        <v>109</v>
      </c>
    </row>
    <row r="51" spans="1:21" x14ac:dyDescent="0.25">
      <c r="A51" s="2">
        <v>44</v>
      </c>
      <c r="B51" s="91"/>
      <c r="C51" s="77"/>
      <c r="D51" s="2"/>
      <c r="E51" s="2"/>
      <c r="F51" s="2"/>
      <c r="G51" s="2"/>
      <c r="H51" s="2"/>
      <c r="I51" s="2"/>
      <c r="J51" s="2"/>
      <c r="K51" s="2"/>
      <c r="L51" s="2"/>
      <c r="M51" s="2"/>
      <c r="N51" s="2"/>
      <c r="O51" s="2"/>
      <c r="P51" s="2"/>
      <c r="Q51" s="2"/>
      <c r="S51" s="59" t="s">
        <v>707</v>
      </c>
      <c r="T51" s="59">
        <f>StartX-ConcretePrimeLength</f>
        <v>205</v>
      </c>
      <c r="U51" s="71" t="s">
        <v>109</v>
      </c>
    </row>
    <row r="52" spans="1:21" x14ac:dyDescent="0.25">
      <c r="A52" s="2">
        <v>45</v>
      </c>
      <c r="B52" s="91"/>
      <c r="C52" s="77"/>
      <c r="D52" s="2"/>
      <c r="E52" s="2"/>
      <c r="F52" s="2"/>
      <c r="G52" s="2"/>
      <c r="H52" s="2"/>
      <c r="I52" s="2"/>
      <c r="J52" s="2"/>
      <c r="K52" s="2"/>
      <c r="L52" s="2"/>
      <c r="M52" s="2"/>
      <c r="N52" s="2"/>
      <c r="O52" s="2"/>
      <c r="P52" s="2"/>
      <c r="Q52" s="2"/>
      <c r="S52" s="71" t="s">
        <v>708</v>
      </c>
      <c r="T52" s="71">
        <v>125</v>
      </c>
      <c r="U52" s="71" t="s">
        <v>109</v>
      </c>
    </row>
    <row r="53" spans="1:21" x14ac:dyDescent="0.25">
      <c r="A53" s="2">
        <v>46</v>
      </c>
      <c r="B53" s="91"/>
      <c r="C53" s="77"/>
      <c r="D53" s="2"/>
      <c r="E53" s="2"/>
      <c r="F53" s="2"/>
      <c r="G53" s="2"/>
      <c r="H53" s="2"/>
      <c r="I53" s="2"/>
      <c r="J53" s="2"/>
      <c r="K53" s="2"/>
      <c r="L53" s="2"/>
      <c r="M53" s="2"/>
      <c r="N53" s="2"/>
      <c r="O53" s="2"/>
      <c r="P53" s="2"/>
      <c r="Q53" s="2"/>
      <c r="S53" s="71" t="s">
        <v>709</v>
      </c>
      <c r="T53" s="71">
        <v>70</v>
      </c>
      <c r="U53" s="71" t="s">
        <v>109</v>
      </c>
    </row>
    <row r="54" spans="1:21" x14ac:dyDescent="0.25">
      <c r="A54" s="2">
        <v>47</v>
      </c>
      <c r="B54" s="91"/>
      <c r="C54" s="77"/>
      <c r="D54" s="2"/>
      <c r="E54" s="2"/>
      <c r="F54" s="2"/>
      <c r="G54" s="2"/>
      <c r="H54" s="2"/>
      <c r="I54" s="2"/>
      <c r="J54" s="2"/>
      <c r="K54" s="2"/>
      <c r="L54" s="2"/>
      <c r="M54" s="2"/>
      <c r="N54" s="2"/>
      <c r="O54" s="2"/>
      <c r="P54" s="2"/>
      <c r="Q54" s="2"/>
      <c r="S54" s="71" t="s">
        <v>801</v>
      </c>
      <c r="T54" s="71">
        <v>1000</v>
      </c>
      <c r="U54" s="71" t="s">
        <v>109</v>
      </c>
    </row>
    <row r="55" spans="1:21" x14ac:dyDescent="0.25">
      <c r="A55" s="2">
        <v>48</v>
      </c>
      <c r="B55" s="91"/>
      <c r="C55" s="77"/>
      <c r="D55" s="2"/>
      <c r="E55" s="2"/>
      <c r="F55" s="2"/>
      <c r="G55" s="2"/>
      <c r="H55" s="2"/>
      <c r="I55" s="2"/>
      <c r="J55" s="2"/>
      <c r="K55" s="2"/>
      <c r="L55" s="2"/>
      <c r="M55" s="2"/>
      <c r="N55" s="2"/>
      <c r="O55" s="2"/>
      <c r="P55" s="2"/>
      <c r="Q55" s="2"/>
    </row>
    <row r="56" spans="1:21" x14ac:dyDescent="0.25">
      <c r="A56" s="2">
        <v>49</v>
      </c>
      <c r="B56" s="91"/>
      <c r="C56" s="77"/>
      <c r="D56" s="2"/>
      <c r="E56" s="2"/>
      <c r="F56" s="2"/>
      <c r="G56" s="2"/>
      <c r="H56" s="2"/>
      <c r="I56" s="2"/>
      <c r="J56" s="2"/>
      <c r="K56" s="2"/>
      <c r="L56" s="2"/>
      <c r="M56" s="2"/>
      <c r="N56" s="2"/>
      <c r="O56" s="2"/>
      <c r="P56" s="2"/>
      <c r="Q56" s="2"/>
    </row>
    <row r="57" spans="1:21" x14ac:dyDescent="0.25">
      <c r="A57" s="2">
        <v>50</v>
      </c>
      <c r="B57" s="91"/>
      <c r="C57" s="77"/>
      <c r="D57" s="2"/>
      <c r="E57" s="2"/>
      <c r="F57" s="2"/>
      <c r="G57" s="2"/>
      <c r="H57" s="2"/>
      <c r="I57" s="2"/>
      <c r="J57" s="2"/>
      <c r="K57" s="2"/>
      <c r="L57" s="2"/>
      <c r="M57" s="2"/>
      <c r="N57" s="2"/>
      <c r="O57" s="2"/>
      <c r="P57" s="2"/>
      <c r="Q57" s="2"/>
    </row>
    <row r="58" spans="1:21" x14ac:dyDescent="0.25">
      <c r="A58" s="2">
        <v>51</v>
      </c>
      <c r="B58" s="91"/>
      <c r="C58" s="77"/>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33" t="s">
        <v>129</v>
      </c>
      <c r="B3" s="2" t="s">
        <v>648</v>
      </c>
      <c r="C3" s="33" t="s">
        <v>128</v>
      </c>
      <c r="D3" s="2" t="s">
        <v>617</v>
      </c>
      <c r="U3" s="69"/>
      <c r="AO3" t="s">
        <v>130</v>
      </c>
      <c r="AP3" t="s">
        <v>631</v>
      </c>
      <c r="AQ3" t="s">
        <v>129</v>
      </c>
      <c r="AR3" t="s">
        <v>615</v>
      </c>
      <c r="AS3" t="s">
        <v>128</v>
      </c>
      <c r="AT3" t="s">
        <v>617</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v>33</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166</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10000</v>
      </c>
      <c r="U31" s="5" t="s">
        <v>45</v>
      </c>
    </row>
    <row r="32" spans="1:34"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7" spans="1:46" x14ac:dyDescent="0.25">
      <c r="A37" s="33" t="s">
        <v>129</v>
      </c>
      <c r="B37" s="2" t="s">
        <v>679</v>
      </c>
      <c r="C37" s="33" t="s">
        <v>128</v>
      </c>
      <c r="D37" s="2" t="s">
        <v>617</v>
      </c>
      <c r="U37" s="69"/>
      <c r="AO37" t="s">
        <v>130</v>
      </c>
      <c r="AP37" t="s">
        <v>680</v>
      </c>
      <c r="AQ37" t="s">
        <v>129</v>
      </c>
      <c r="AR37" t="s">
        <v>679</v>
      </c>
      <c r="AS37" t="s">
        <v>128</v>
      </c>
      <c r="AT37" t="s">
        <v>617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11" t="s">
        <v>658</v>
      </c>
      <c r="C39" s="2" t="s">
        <v>18</v>
      </c>
      <c r="D39" s="2" t="s">
        <v>3</v>
      </c>
      <c r="E39" s="2" t="s">
        <v>4</v>
      </c>
      <c r="F39" s="2" t="s">
        <v>33</v>
      </c>
      <c r="G39" s="2" t="s">
        <v>5</v>
      </c>
      <c r="H39" s="2" t="s">
        <v>6</v>
      </c>
      <c r="I39" s="2" t="s">
        <v>34</v>
      </c>
      <c r="J39" s="2" t="s">
        <v>77</v>
      </c>
      <c r="K39" s="2" t="s">
        <v>15</v>
      </c>
      <c r="L39" s="2" t="s">
        <v>11</v>
      </c>
      <c r="M39" s="2" t="s">
        <v>181</v>
      </c>
      <c r="N39" s="2"/>
      <c r="O39" s="2"/>
      <c r="P39" s="2"/>
      <c r="Q39" s="2"/>
      <c r="S39" s="74" t="s">
        <v>40</v>
      </c>
      <c r="T39" s="3"/>
      <c r="U39" s="5"/>
    </row>
    <row r="40" spans="1:46" x14ac:dyDescent="0.25">
      <c r="A40" s="2">
        <v>2</v>
      </c>
      <c r="B40" s="111"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11"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R50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00" t="s">
        <v>466</v>
      </c>
      <c r="AC43" s="101"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R-50</v>
      </c>
      <c r="I45" s="2" t="s">
        <v>100</v>
      </c>
      <c r="J45" s="2" t="s">
        <v>19</v>
      </c>
      <c r="K45" s="2" t="e">
        <f>ExtrusionWidth</f>
        <v>#NAME?</v>
      </c>
      <c r="L45" s="2" t="e">
        <f>ExtrusionHeight</f>
        <v>#NAME?</v>
      </c>
      <c r="M45" s="2"/>
      <c r="N45" s="2"/>
      <c r="O45" s="2"/>
      <c r="P45" s="2"/>
      <c r="Q45" s="2"/>
      <c r="S45" s="46"/>
      <c r="T45" s="46"/>
      <c r="U45" s="70"/>
    </row>
    <row r="46" spans="1:46" x14ac:dyDescent="0.25">
      <c r="A46" s="2">
        <v>8</v>
      </c>
      <c r="B46" s="2" t="s">
        <v>55</v>
      </c>
      <c r="C46" s="77" t="s">
        <v>667</v>
      </c>
      <c r="D46" s="2" t="e">
        <f>4*ExtrusionSpacing_L1</f>
        <v>#NAME?</v>
      </c>
      <c r="E46" s="2">
        <v>0</v>
      </c>
      <c r="F46" s="2">
        <v>0</v>
      </c>
      <c r="G46" s="2">
        <v>20</v>
      </c>
      <c r="H46" s="2"/>
      <c r="I46" s="2"/>
      <c r="J46" s="2"/>
      <c r="K46" s="2"/>
      <c r="L46" s="2"/>
      <c r="M46" s="2"/>
      <c r="N46" s="2"/>
      <c r="O46" s="2"/>
      <c r="P46" s="2"/>
      <c r="Q46" s="2"/>
      <c r="S46" s="5" t="s">
        <v>338</v>
      </c>
      <c r="T46" s="95">
        <v>65</v>
      </c>
      <c r="U46" s="5" t="s">
        <v>43</v>
      </c>
      <c r="V46" s="95">
        <v>60</v>
      </c>
      <c r="W46" s="96">
        <v>60</v>
      </c>
      <c r="X46" s="107">
        <v>60</v>
      </c>
      <c r="Y46" s="97">
        <v>60</v>
      </c>
      <c r="Z46" s="99">
        <v>60</v>
      </c>
      <c r="AA46" s="100">
        <v>60</v>
      </c>
      <c r="AB46" s="100">
        <v>60</v>
      </c>
      <c r="AC46" s="104">
        <v>60</v>
      </c>
      <c r="AD46" s="105">
        <v>60</v>
      </c>
      <c r="AE46" s="106">
        <v>60</v>
      </c>
      <c r="AF46" s="108">
        <v>60</v>
      </c>
      <c r="AG46" s="102">
        <v>60</v>
      </c>
      <c r="AH46" s="109">
        <v>60</v>
      </c>
    </row>
    <row r="47" spans="1:46" x14ac:dyDescent="0.25">
      <c r="A47" s="2">
        <v>9</v>
      </c>
      <c r="B47" s="91"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91"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91" t="s">
        <v>49</v>
      </c>
      <c r="C49" s="2" t="s">
        <v>634</v>
      </c>
      <c r="D49" s="2"/>
      <c r="E49" s="2"/>
      <c r="F49" s="91"/>
      <c r="G49" s="2"/>
      <c r="H49" s="2"/>
      <c r="I49" s="2"/>
      <c r="J49" s="2"/>
      <c r="K49" s="2"/>
      <c r="L49" s="2"/>
      <c r="M49" s="2"/>
      <c r="N49" s="2"/>
      <c r="O49" s="2"/>
      <c r="P49" s="2"/>
      <c r="Q49" s="2"/>
      <c r="S49" s="5" t="s">
        <v>41</v>
      </c>
      <c r="T49" s="95">
        <v>220</v>
      </c>
      <c r="U49" s="5" t="s">
        <v>43</v>
      </c>
      <c r="V49" s="95">
        <v>210</v>
      </c>
      <c r="W49" s="96">
        <v>210</v>
      </c>
      <c r="X49" s="107">
        <v>210</v>
      </c>
      <c r="Y49" s="97">
        <v>215</v>
      </c>
      <c r="Z49" s="99">
        <v>220</v>
      </c>
      <c r="AA49" s="100">
        <v>210</v>
      </c>
      <c r="AB49" s="100">
        <v>210</v>
      </c>
      <c r="AC49" s="104">
        <v>210</v>
      </c>
      <c r="AD49" s="105">
        <v>210</v>
      </c>
      <c r="AE49" s="106">
        <v>210</v>
      </c>
      <c r="AF49" s="108">
        <v>210</v>
      </c>
      <c r="AG49" s="102">
        <v>210</v>
      </c>
      <c r="AH49" s="109">
        <v>210</v>
      </c>
    </row>
    <row r="50" spans="1:34" x14ac:dyDescent="0.25">
      <c r="A50" s="2">
        <v>12</v>
      </c>
      <c r="B50" s="111"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95">
        <v>1.75</v>
      </c>
      <c r="U50" s="5" t="s">
        <v>44</v>
      </c>
      <c r="V50" s="95">
        <v>2.85</v>
      </c>
      <c r="W50" s="96">
        <v>1.75</v>
      </c>
      <c r="X50" s="107">
        <v>1.75</v>
      </c>
      <c r="Y50" s="98">
        <v>1.75</v>
      </c>
      <c r="Z50" s="99">
        <v>1.75</v>
      </c>
      <c r="AA50" s="100">
        <v>1.75</v>
      </c>
      <c r="AB50" s="100">
        <v>1.75</v>
      </c>
      <c r="AC50" s="104">
        <v>1.75</v>
      </c>
      <c r="AD50" s="105">
        <v>1.75</v>
      </c>
      <c r="AE50" s="106">
        <v>1.75</v>
      </c>
      <c r="AF50" s="108">
        <v>1.75</v>
      </c>
      <c r="AG50" s="102">
        <v>2.85</v>
      </c>
      <c r="AH50" s="109">
        <v>1.75</v>
      </c>
    </row>
    <row r="51" spans="1:34" x14ac:dyDescent="0.25">
      <c r="A51" s="2">
        <v>13</v>
      </c>
      <c r="B51" s="91" t="s">
        <v>1</v>
      </c>
      <c r="C51" s="2" t="s">
        <v>18</v>
      </c>
      <c r="D51" s="2" t="e">
        <f>StartX+ExtrusionSpacing_L1</f>
        <v>#NAME?</v>
      </c>
      <c r="E51" s="2" t="e">
        <f>StartY+Length+ExtrusionSpacing_L1</f>
        <v>#NAME?</v>
      </c>
      <c r="F51" s="2">
        <v>1E-4</v>
      </c>
      <c r="G51" s="2" t="s">
        <v>100</v>
      </c>
      <c r="H51" s="2" t="str">
        <f>CONCATENATE("R-", Length)</f>
        <v>R-50</v>
      </c>
      <c r="I51" s="2" t="s">
        <v>100</v>
      </c>
      <c r="J51" s="2" t="s">
        <v>19</v>
      </c>
      <c r="K51" s="2" t="e">
        <f>ExtrusionWidth</f>
        <v>#NAME?</v>
      </c>
      <c r="L51" s="2" t="e">
        <f>ExtrusionHeight</f>
        <v>#NAME?</v>
      </c>
      <c r="M51" s="2"/>
      <c r="N51" s="2"/>
      <c r="O51" s="2"/>
      <c r="P51" s="2"/>
      <c r="Q51" s="2"/>
      <c r="S51" s="5" t="s">
        <v>46</v>
      </c>
      <c r="T51" s="95">
        <v>33</v>
      </c>
      <c r="U51" s="5" t="s">
        <v>90</v>
      </c>
      <c r="V51" s="95" t="s">
        <v>82</v>
      </c>
      <c r="W51" s="96" t="s">
        <v>44</v>
      </c>
      <c r="X51" s="107" t="s">
        <v>44</v>
      </c>
      <c r="Y51" s="98" t="s">
        <v>44</v>
      </c>
      <c r="Z51" s="99" t="s">
        <v>44</v>
      </c>
      <c r="AA51" s="100" t="s">
        <v>44</v>
      </c>
      <c r="AB51" s="100" t="s">
        <v>44</v>
      </c>
      <c r="AC51" s="104" t="s">
        <v>44</v>
      </c>
      <c r="AD51" s="105" t="s">
        <v>44</v>
      </c>
      <c r="AE51" s="106" t="s">
        <v>44</v>
      </c>
      <c r="AF51" s="108" t="s">
        <v>44</v>
      </c>
      <c r="AG51" s="102" t="s">
        <v>82</v>
      </c>
      <c r="AH51" s="109" t="s">
        <v>44</v>
      </c>
    </row>
    <row r="52" spans="1:34" x14ac:dyDescent="0.25">
      <c r="A52" s="2">
        <v>14</v>
      </c>
      <c r="B52" s="91"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95" t="s">
        <v>635</v>
      </c>
      <c r="U52" s="5"/>
      <c r="V52" s="95" t="s">
        <v>153</v>
      </c>
      <c r="W52" s="96" t="s">
        <v>394</v>
      </c>
      <c r="X52" s="107" t="s">
        <v>393</v>
      </c>
      <c r="Y52" s="23" t="s">
        <v>455</v>
      </c>
      <c r="Z52" s="99" t="s">
        <v>425</v>
      </c>
      <c r="AA52" s="100" t="s">
        <v>465</v>
      </c>
      <c r="AB52" s="100" t="s">
        <v>466</v>
      </c>
      <c r="AC52" s="104" t="s">
        <v>489</v>
      </c>
      <c r="AD52" s="105" t="s">
        <v>504</v>
      </c>
      <c r="AE52" s="106" t="s">
        <v>554</v>
      </c>
      <c r="AF52" s="108" t="s">
        <v>558</v>
      </c>
      <c r="AG52" s="102" t="s">
        <v>591</v>
      </c>
      <c r="AH52" s="109" t="s">
        <v>592</v>
      </c>
    </row>
    <row r="53" spans="1:34" x14ac:dyDescent="0.25">
      <c r="A53" s="2">
        <v>15</v>
      </c>
      <c r="B53" s="91" t="s">
        <v>1</v>
      </c>
      <c r="C53" s="2" t="s">
        <v>18</v>
      </c>
      <c r="D53" s="2" t="s">
        <v>100</v>
      </c>
      <c r="E53" s="2" t="s">
        <v>100</v>
      </c>
      <c r="F53" s="2" t="s">
        <v>100</v>
      </c>
      <c r="G53" s="2" t="s">
        <v>100</v>
      </c>
      <c r="H53" s="2" t="str" cm="1">
        <f t="array" ref="H53">CONCATENATE("R", Length)</f>
        <v>R50</v>
      </c>
      <c r="I53" s="2" t="s">
        <v>100</v>
      </c>
      <c r="J53" s="2" t="s">
        <v>19</v>
      </c>
      <c r="K53" s="2" t="e">
        <f>ExtrusionWidth</f>
        <v>#NAME?</v>
      </c>
      <c r="L53" s="2" t="e">
        <f>ExtrusionHeight</f>
        <v>#NAME?</v>
      </c>
      <c r="M53" s="2"/>
      <c r="N53" s="2"/>
      <c r="O53" s="2"/>
      <c r="P53" s="2"/>
      <c r="Q53" s="2"/>
      <c r="S53" s="5" t="s">
        <v>152</v>
      </c>
      <c r="T53" s="95" t="s">
        <v>635</v>
      </c>
      <c r="U53" s="5"/>
      <c r="V53" s="95" t="s">
        <v>125</v>
      </c>
      <c r="W53" s="96" t="s">
        <v>394</v>
      </c>
      <c r="X53" s="107" t="s">
        <v>393</v>
      </c>
      <c r="Y53" s="23" t="s">
        <v>455</v>
      </c>
      <c r="Z53" s="99" t="s">
        <v>425</v>
      </c>
      <c r="AA53" s="100" t="s">
        <v>465</v>
      </c>
      <c r="AB53" s="100" t="s">
        <v>466</v>
      </c>
      <c r="AC53" s="104" t="s">
        <v>489</v>
      </c>
      <c r="AD53" s="105" t="s">
        <v>504</v>
      </c>
      <c r="AE53" s="106" t="s">
        <v>554</v>
      </c>
      <c r="AF53" s="108" t="s">
        <v>558</v>
      </c>
      <c r="AG53" s="102" t="s">
        <v>591</v>
      </c>
      <c r="AH53" s="109" t="s">
        <v>592</v>
      </c>
    </row>
    <row r="54" spans="1:34" x14ac:dyDescent="0.25">
      <c r="A54" s="2">
        <v>16</v>
      </c>
      <c r="B54" s="91"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91" t="s">
        <v>55</v>
      </c>
      <c r="C55" s="77"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91"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11"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62" t="s">
        <v>339</v>
      </c>
      <c r="T57" s="5">
        <v>0</v>
      </c>
      <c r="U57" s="5"/>
      <c r="V57" s="1"/>
    </row>
    <row r="58" spans="1:34" x14ac:dyDescent="0.25">
      <c r="A58" s="2">
        <v>20</v>
      </c>
      <c r="B58" s="91" t="s">
        <v>1</v>
      </c>
      <c r="C58" s="2" t="s">
        <v>18</v>
      </c>
      <c r="D58" s="2" t="e">
        <f>StartX+ExtrusionSpacing_L1</f>
        <v>#NAME?</v>
      </c>
      <c r="E58" s="2" t="e">
        <f>StartY+Length+ExtrusionSpacing_L1</f>
        <v>#NAME?</v>
      </c>
      <c r="F58" s="2" t="s">
        <v>100</v>
      </c>
      <c r="G58" s="2" t="s">
        <v>100</v>
      </c>
      <c r="H58" s="2" t="str">
        <f>CONCATENATE("R-", Length)</f>
        <v>R-50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91"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91" t="s">
        <v>1</v>
      </c>
      <c r="C60" s="2" t="s">
        <v>18</v>
      </c>
      <c r="D60" s="2" t="s">
        <v>100</v>
      </c>
      <c r="E60" s="2" t="s">
        <v>100</v>
      </c>
      <c r="F60" s="2" t="s">
        <v>100</v>
      </c>
      <c r="G60" s="2" t="s">
        <v>100</v>
      </c>
      <c r="H60" s="2" t="str" cm="1">
        <f t="array" ref="H60">CONCATENATE("R", Length)</f>
        <v>R50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91"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91" t="s">
        <v>55</v>
      </c>
      <c r="C62" s="77"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91"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91" t="s">
        <v>49</v>
      </c>
      <c r="C64" s="2" t="s">
        <v>203</v>
      </c>
      <c r="D64" s="2">
        <v>0</v>
      </c>
      <c r="E64" s="2"/>
      <c r="F64" s="2"/>
      <c r="G64" s="2"/>
      <c r="H64" s="91"/>
      <c r="I64" s="2"/>
      <c r="J64" s="2"/>
      <c r="K64" s="2"/>
      <c r="L64" s="2"/>
      <c r="M64" s="2"/>
      <c r="N64" s="2"/>
      <c r="O64" s="2"/>
      <c r="P64" s="2"/>
      <c r="Q64" s="2"/>
      <c r="S64" s="3" t="s">
        <v>164</v>
      </c>
      <c r="T64" s="3">
        <v>0.65</v>
      </c>
      <c r="U64" s="5" t="s">
        <v>44</v>
      </c>
    </row>
    <row r="65" spans="1:46" x14ac:dyDescent="0.25">
      <c r="A65" s="2">
        <v>27</v>
      </c>
      <c r="B65" s="91"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11" t="s">
        <v>658</v>
      </c>
      <c r="C66" s="2" t="s">
        <v>18</v>
      </c>
      <c r="D66" s="2" t="s">
        <v>100</v>
      </c>
      <c r="E66" s="2" t="s">
        <v>100</v>
      </c>
      <c r="F66" s="2" t="s">
        <v>100</v>
      </c>
      <c r="G66" s="2">
        <v>50</v>
      </c>
      <c r="H66" s="2">
        <v>50</v>
      </c>
      <c r="I66" s="2" t="e">
        <f>LayerHeight</f>
        <v>#NAME?</v>
      </c>
      <c r="J66" s="2" t="s">
        <v>23</v>
      </c>
      <c r="K66" s="2"/>
      <c r="L66" s="2"/>
      <c r="M66" s="2"/>
      <c r="N66" s="2"/>
      <c r="O66" s="2"/>
      <c r="P66" s="2"/>
      <c r="Q66" s="2"/>
      <c r="U66" s="6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91"/>
      <c r="P67" s="2"/>
      <c r="Q67" s="2"/>
      <c r="S67" s="75" t="s">
        <v>292</v>
      </c>
      <c r="T67" s="75" t="s">
        <v>293</v>
      </c>
      <c r="U67" s="76" t="s">
        <v>331</v>
      </c>
    </row>
    <row r="68" spans="1:46" x14ac:dyDescent="0.25">
      <c r="A68" s="2">
        <v>30</v>
      </c>
      <c r="B68" s="2" t="s">
        <v>1</v>
      </c>
      <c r="C68" s="2" t="s">
        <v>18</v>
      </c>
      <c r="D68" s="2" t="s">
        <v>100</v>
      </c>
      <c r="E68" s="2" t="s">
        <v>100</v>
      </c>
      <c r="F68" s="2" t="s">
        <v>100</v>
      </c>
      <c r="G68" s="2" t="s">
        <v>100</v>
      </c>
      <c r="H68" s="2" t="str" cm="1">
        <f t="array" ref="H68">CONCATENATE("R", Length)</f>
        <v>R50</v>
      </c>
      <c r="I68" s="2" t="s">
        <v>100</v>
      </c>
      <c r="J68" s="2" t="s">
        <v>19</v>
      </c>
      <c r="K68" s="2" t="e">
        <f>ExtrusionWidth</f>
        <v>#NAME?</v>
      </c>
      <c r="L68" s="2" t="e">
        <f>ExtrusionHeight</f>
        <v>#NAME?</v>
      </c>
      <c r="M68" s="2"/>
      <c r="N68" s="2"/>
      <c r="O68" s="2"/>
      <c r="P68" s="2"/>
      <c r="Q68" s="2"/>
      <c r="S68" s="59" t="s">
        <v>662</v>
      </c>
      <c r="T68" s="59">
        <v>1.35</v>
      </c>
      <c r="U68" s="71" t="s">
        <v>109</v>
      </c>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S69" s="59" t="s">
        <v>661</v>
      </c>
      <c r="T69" s="59">
        <v>1.1000000000000001</v>
      </c>
      <c r="U69" s="71" t="s">
        <v>109</v>
      </c>
    </row>
    <row r="70" spans="1:46" x14ac:dyDescent="0.25">
      <c r="A70" s="2">
        <v>32</v>
      </c>
      <c r="B70" s="2" t="s">
        <v>1</v>
      </c>
      <c r="C70" s="2" t="s">
        <v>18</v>
      </c>
      <c r="D70" s="2" t="s">
        <v>100</v>
      </c>
      <c r="E70" s="2" t="s">
        <v>100</v>
      </c>
      <c r="F70" s="2" t="s">
        <v>100</v>
      </c>
      <c r="G70" s="2" t="s">
        <v>100</v>
      </c>
      <c r="H70" s="2" t="str">
        <f>CONCATENATE("R-", Length)</f>
        <v>R-50</v>
      </c>
      <c r="I70" s="2" t="s">
        <v>100</v>
      </c>
      <c r="J70" s="2" t="s">
        <v>19</v>
      </c>
      <c r="K70" s="2" t="e">
        <f>ExtrusionWidth</f>
        <v>#NAME?</v>
      </c>
      <c r="L70" s="2" t="e">
        <f>ExtrusionHeight</f>
        <v>#NAME?</v>
      </c>
      <c r="M70" s="2"/>
      <c r="N70" s="2"/>
      <c r="O70" s="2"/>
      <c r="P70" s="2"/>
      <c r="Q70" s="2"/>
      <c r="S70" s="59" t="s">
        <v>672</v>
      </c>
      <c r="T70" s="59">
        <v>1.2</v>
      </c>
      <c r="U70" s="71" t="s">
        <v>109</v>
      </c>
    </row>
    <row r="71" spans="1:46" x14ac:dyDescent="0.25">
      <c r="A71" s="2">
        <v>33</v>
      </c>
      <c r="B71" s="2" t="s">
        <v>55</v>
      </c>
      <c r="C71" s="77" t="s">
        <v>676</v>
      </c>
      <c r="D71" s="2" t="e">
        <f>4*ExtrusionSpacing_L1</f>
        <v>#NAME?</v>
      </c>
      <c r="E71" s="2">
        <v>0</v>
      </c>
      <c r="F71" s="2">
        <v>0</v>
      </c>
      <c r="G71" s="2">
        <v>20</v>
      </c>
      <c r="H71" s="2"/>
      <c r="I71" s="2"/>
      <c r="J71" s="2"/>
      <c r="K71" s="2"/>
      <c r="L71" s="2"/>
      <c r="M71" s="2"/>
      <c r="N71" s="2"/>
      <c r="O71" s="2"/>
      <c r="P71" s="2"/>
      <c r="Q71" s="2"/>
      <c r="S71" s="59" t="s">
        <v>673</v>
      </c>
      <c r="T71" s="59">
        <v>0.9</v>
      </c>
      <c r="U71" s="71" t="s">
        <v>109</v>
      </c>
      <c r="AO71" t="s">
        <v>130</v>
      </c>
      <c r="AP71" t="s">
        <v>669</v>
      </c>
      <c r="AQ71" t="s">
        <v>129</v>
      </c>
      <c r="AR71" t="s">
        <v>668</v>
      </c>
      <c r="AS71" t="s">
        <v>128</v>
      </c>
      <c r="AT71" t="s">
        <v>617</v>
      </c>
    </row>
    <row r="72" spans="1:46" x14ac:dyDescent="0.25">
      <c r="A72" s="2">
        <v>34</v>
      </c>
      <c r="B72" s="91" t="s">
        <v>39</v>
      </c>
      <c r="C72" s="2">
        <v>1.25</v>
      </c>
      <c r="D72" s="2">
        <v>2100</v>
      </c>
      <c r="E72" s="2" t="e">
        <f>LayerHeight</f>
        <v>#NAME?</v>
      </c>
      <c r="F72" s="2">
        <v>10000</v>
      </c>
      <c r="G72" s="2"/>
      <c r="H72" s="2"/>
      <c r="I72" s="2"/>
      <c r="J72" s="2"/>
      <c r="K72" s="2"/>
      <c r="L72" s="2"/>
      <c r="M72" s="2"/>
      <c r="N72" s="2"/>
      <c r="O72" s="2"/>
      <c r="P72" s="2"/>
      <c r="Q72" s="2"/>
      <c r="S72" s="59" t="s">
        <v>644</v>
      </c>
      <c r="T72" s="59" t="s">
        <v>467</v>
      </c>
      <c r="U72" s="71" t="s">
        <v>109</v>
      </c>
    </row>
    <row r="73" spans="1:46" x14ac:dyDescent="0.25">
      <c r="A73" s="2">
        <v>35</v>
      </c>
      <c r="B73" s="91" t="s">
        <v>55</v>
      </c>
      <c r="C73" s="2" t="s">
        <v>677</v>
      </c>
      <c r="D73" s="2">
        <v>0</v>
      </c>
      <c r="E73" s="2">
        <v>0</v>
      </c>
      <c r="F73" s="2" t="e">
        <f>2*LayerHeight</f>
        <v>#NAME?</v>
      </c>
      <c r="G73" s="2">
        <v>20</v>
      </c>
      <c r="H73" s="2"/>
      <c r="I73" s="2"/>
      <c r="J73" s="2"/>
      <c r="K73" s="2"/>
      <c r="L73" s="2"/>
      <c r="M73" s="2"/>
      <c r="N73" s="2"/>
      <c r="O73" s="2"/>
      <c r="P73" s="2"/>
      <c r="Q73" s="2"/>
      <c r="R73" s="64"/>
      <c r="S73" s="59" t="s">
        <v>309</v>
      </c>
      <c r="T73" s="59">
        <v>0.9</v>
      </c>
      <c r="U73" s="71" t="s">
        <v>109</v>
      </c>
      <c r="V73" s="64"/>
      <c r="W73" s="64"/>
      <c r="X73" s="64"/>
      <c r="Y73" s="64"/>
      <c r="Z73" s="64"/>
      <c r="AA73" s="64"/>
      <c r="AB73" s="64"/>
      <c r="AC73" s="64"/>
      <c r="AD73" s="64"/>
      <c r="AE73" s="64"/>
      <c r="AF73" s="64"/>
      <c r="AG73" s="64"/>
      <c r="AH73" s="64"/>
      <c r="AI73" s="64"/>
      <c r="AJ73" s="64"/>
      <c r="AK73" s="64"/>
      <c r="AL73" s="64"/>
      <c r="AM73" s="64"/>
      <c r="AN73" s="64"/>
    </row>
    <row r="74" spans="1:46" x14ac:dyDescent="0.25">
      <c r="A74" s="2">
        <v>36</v>
      </c>
      <c r="B74" s="91"/>
      <c r="C74" s="2"/>
      <c r="D74" s="2"/>
      <c r="E74" s="2"/>
      <c r="F74" s="2"/>
      <c r="G74" s="2"/>
      <c r="H74" s="2"/>
      <c r="I74" s="2"/>
      <c r="J74" s="2"/>
      <c r="K74" s="2"/>
      <c r="L74" s="2"/>
      <c r="M74" s="2"/>
      <c r="N74" s="2"/>
      <c r="O74" s="2"/>
      <c r="P74" s="2"/>
      <c r="Q74" s="2"/>
      <c r="R74" s="64"/>
      <c r="S74" s="59" t="s">
        <v>678</v>
      </c>
      <c r="T74" s="59">
        <v>50</v>
      </c>
      <c r="U74" s="71" t="s">
        <v>109</v>
      </c>
      <c r="V74" s="64"/>
      <c r="W74" s="64"/>
      <c r="X74" s="64"/>
      <c r="Y74" s="64"/>
      <c r="Z74" s="64"/>
      <c r="AA74" s="64"/>
      <c r="AB74" s="64"/>
      <c r="AC74" s="64"/>
      <c r="AD74" s="64"/>
      <c r="AE74" s="64"/>
      <c r="AF74" s="64"/>
      <c r="AG74" s="64"/>
      <c r="AH74" s="64"/>
      <c r="AI74" s="64"/>
      <c r="AJ74" s="64"/>
      <c r="AK74" s="64"/>
      <c r="AL74" s="64"/>
      <c r="AM74" s="64"/>
      <c r="AN74" s="64"/>
    </row>
    <row r="75" spans="1:46" x14ac:dyDescent="0.25">
      <c r="A75" s="2">
        <v>37</v>
      </c>
      <c r="B75" s="91"/>
      <c r="C75" s="2"/>
      <c r="D75" s="2"/>
      <c r="E75" s="2"/>
      <c r="F75" s="2"/>
      <c r="G75" s="2"/>
      <c r="H75" s="2"/>
      <c r="I75" s="2"/>
      <c r="J75" s="2"/>
      <c r="K75" s="2"/>
      <c r="L75" s="2"/>
      <c r="M75" s="2"/>
      <c r="N75" s="2"/>
      <c r="O75" s="2"/>
      <c r="P75" s="2"/>
      <c r="Q75" s="2"/>
      <c r="R75" s="64"/>
      <c r="S75" s="59" t="s">
        <v>271</v>
      </c>
      <c r="T75" s="59">
        <v>50</v>
      </c>
      <c r="U75" s="71" t="s">
        <v>109</v>
      </c>
      <c r="V75" s="64"/>
      <c r="W75" s="64"/>
      <c r="X75" s="64"/>
      <c r="Y75" s="64"/>
      <c r="Z75" s="64"/>
      <c r="AA75" s="64"/>
      <c r="AB75" s="64"/>
      <c r="AC75" s="64"/>
      <c r="AD75" s="64"/>
      <c r="AE75" s="64"/>
      <c r="AF75" s="64"/>
      <c r="AG75" s="64"/>
      <c r="AH75" s="64"/>
      <c r="AI75" s="64"/>
      <c r="AJ75" s="64"/>
      <c r="AK75" s="64"/>
      <c r="AL75" s="64"/>
      <c r="AM75" s="64"/>
      <c r="AN75" s="64"/>
    </row>
    <row r="76" spans="1:46" x14ac:dyDescent="0.25">
      <c r="A76" s="2">
        <v>38</v>
      </c>
      <c r="B76" s="91"/>
      <c r="C76" s="2"/>
      <c r="D76" s="2"/>
      <c r="E76" s="2"/>
      <c r="F76" s="2"/>
      <c r="G76" s="2"/>
      <c r="H76" s="2"/>
      <c r="I76" s="2"/>
      <c r="J76" s="2"/>
      <c r="K76" s="2"/>
      <c r="L76" s="2"/>
      <c r="M76" s="2"/>
      <c r="N76" s="2"/>
      <c r="O76" s="2"/>
      <c r="P76" s="2"/>
      <c r="Q76" s="2"/>
      <c r="R76" s="64"/>
      <c r="S76" s="59" t="s">
        <v>272</v>
      </c>
      <c r="T76" s="59">
        <v>75</v>
      </c>
      <c r="U76" s="71" t="s">
        <v>109</v>
      </c>
      <c r="V76" s="64"/>
      <c r="W76" s="64"/>
      <c r="X76" s="64"/>
      <c r="Y76" s="64"/>
      <c r="Z76" s="64"/>
      <c r="AA76" s="64"/>
      <c r="AB76" s="64"/>
      <c r="AC76" s="64"/>
      <c r="AD76" s="64"/>
      <c r="AE76" s="64"/>
      <c r="AF76" s="64"/>
      <c r="AG76" s="64"/>
      <c r="AH76" s="64"/>
      <c r="AI76" s="64"/>
      <c r="AJ76" s="64"/>
      <c r="AK76" s="64"/>
      <c r="AL76" s="64"/>
      <c r="AM76" s="64"/>
      <c r="AN76" s="64"/>
    </row>
    <row r="77" spans="1:46" x14ac:dyDescent="0.25">
      <c r="A77" s="2">
        <v>39</v>
      </c>
      <c r="B77" s="91"/>
      <c r="C77" s="2"/>
      <c r="D77" s="2"/>
      <c r="E77" s="2"/>
      <c r="F77" s="2"/>
      <c r="G77" s="2"/>
      <c r="H77" s="2"/>
      <c r="I77" s="2"/>
      <c r="J77" s="2"/>
      <c r="K77" s="2"/>
      <c r="L77" s="2"/>
      <c r="M77" s="2"/>
      <c r="N77" s="2"/>
      <c r="O77" s="2"/>
      <c r="P77" s="2"/>
      <c r="Q77" s="2"/>
      <c r="R77" s="64"/>
      <c r="S77" s="64"/>
      <c r="T77" s="64"/>
      <c r="U77" s="64"/>
      <c r="V77" s="64"/>
      <c r="W77" s="64"/>
      <c r="X77" s="64"/>
      <c r="Y77" s="64"/>
      <c r="Z77" s="64"/>
      <c r="AA77" s="64"/>
      <c r="AB77" s="64"/>
      <c r="AC77" s="64"/>
      <c r="AD77" s="64"/>
      <c r="AE77" s="64"/>
      <c r="AF77" s="64"/>
      <c r="AG77" s="64"/>
      <c r="AH77" s="64"/>
      <c r="AI77" s="64"/>
      <c r="AJ77" s="64"/>
      <c r="AK77" s="64"/>
      <c r="AL77" s="64"/>
      <c r="AM77" s="64"/>
      <c r="AN77" s="64"/>
    </row>
    <row r="78" spans="1:46" x14ac:dyDescent="0.25">
      <c r="A78" s="2">
        <v>40</v>
      </c>
      <c r="B78" s="91"/>
      <c r="C78" s="2"/>
      <c r="D78" s="2"/>
      <c r="E78" s="2"/>
      <c r="F78" s="2"/>
      <c r="G78" s="2"/>
      <c r="H78" s="2"/>
      <c r="I78" s="2"/>
      <c r="J78" s="2"/>
      <c r="K78" s="2"/>
      <c r="L78" s="2"/>
      <c r="M78" s="2"/>
      <c r="N78" s="2"/>
      <c r="O78" s="2"/>
      <c r="P78" s="2"/>
      <c r="Q78" s="2"/>
      <c r="R78" s="64"/>
      <c r="S78" s="64"/>
      <c r="T78" s="64"/>
      <c r="U78" s="64"/>
      <c r="V78" s="64"/>
      <c r="W78" s="64"/>
      <c r="X78" s="64"/>
      <c r="Y78" s="64"/>
      <c r="Z78" s="64"/>
      <c r="AA78" s="64"/>
      <c r="AB78" s="64"/>
      <c r="AC78" s="64"/>
      <c r="AD78" s="64"/>
      <c r="AE78" s="64"/>
      <c r="AF78" s="64"/>
      <c r="AG78" s="64"/>
      <c r="AH78" s="64"/>
      <c r="AI78" s="64"/>
      <c r="AJ78" s="64"/>
      <c r="AK78" s="64"/>
      <c r="AL78" s="64"/>
      <c r="AM78" s="64"/>
      <c r="AN78" s="64"/>
    </row>
    <row r="80" spans="1:46" x14ac:dyDescent="0.25">
      <c r="A80" s="33" t="s">
        <v>129</v>
      </c>
      <c r="B80" s="2" t="s">
        <v>681</v>
      </c>
      <c r="C80" s="33" t="s">
        <v>128</v>
      </c>
      <c r="D80" s="2" t="s">
        <v>617</v>
      </c>
      <c r="U80" s="69"/>
      <c r="AO80" t="s">
        <v>130</v>
      </c>
      <c r="AP80" t="s">
        <v>682</v>
      </c>
      <c r="AQ80" t="s">
        <v>129</v>
      </c>
      <c r="AR80" t="s">
        <v>681</v>
      </c>
      <c r="AS80" t="s">
        <v>128</v>
      </c>
      <c r="AT80" t="s">
        <v>617</v>
      </c>
    </row>
    <row r="81" spans="1:34" x14ac:dyDescent="0.25">
      <c r="A81" s="32" t="s">
        <v>0</v>
      </c>
      <c r="B81" s="2"/>
      <c r="C81" s="2"/>
      <c r="D81" s="2"/>
      <c r="E81" s="2"/>
      <c r="F81" s="2"/>
      <c r="G81" s="2"/>
      <c r="H81" s="2"/>
      <c r="I81" s="2"/>
      <c r="J81" s="2"/>
      <c r="K81" s="2"/>
      <c r="L81" s="2"/>
      <c r="M81" s="2"/>
      <c r="N81" s="2"/>
      <c r="O81" s="2"/>
      <c r="P81" s="2"/>
      <c r="Q81" s="33" t="s">
        <v>289</v>
      </c>
      <c r="U81" s="69"/>
    </row>
    <row r="82" spans="1:34" x14ac:dyDescent="0.25">
      <c r="A82" s="2">
        <v>1</v>
      </c>
      <c r="B82" s="111" t="s">
        <v>658</v>
      </c>
      <c r="C82" s="2" t="s">
        <v>18</v>
      </c>
      <c r="D82" s="2" t="s">
        <v>3</v>
      </c>
      <c r="E82" s="2" t="s">
        <v>4</v>
      </c>
      <c r="F82" s="2" t="s">
        <v>33</v>
      </c>
      <c r="G82" s="2" t="s">
        <v>5</v>
      </c>
      <c r="H82" s="2" t="s">
        <v>6</v>
      </c>
      <c r="I82" s="2" t="s">
        <v>34</v>
      </c>
      <c r="J82" s="2" t="s">
        <v>77</v>
      </c>
      <c r="K82" s="2" t="s">
        <v>15</v>
      </c>
      <c r="L82" s="2" t="s">
        <v>11</v>
      </c>
      <c r="M82" s="2" t="s">
        <v>181</v>
      </c>
      <c r="N82" s="2"/>
      <c r="O82" s="2"/>
      <c r="P82" s="2"/>
      <c r="Q82" s="2"/>
      <c r="S82" s="74" t="s">
        <v>40</v>
      </c>
      <c r="T82" s="3"/>
      <c r="U82" s="5"/>
    </row>
    <row r="83" spans="1:34" x14ac:dyDescent="0.25">
      <c r="A83" s="2">
        <v>2</v>
      </c>
      <c r="B83" s="111"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11"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R50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00" t="s">
        <v>466</v>
      </c>
      <c r="AC86" s="101"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R-50</v>
      </c>
      <c r="I88" s="2" t="s">
        <v>100</v>
      </c>
      <c r="J88" s="2" t="s">
        <v>19</v>
      </c>
      <c r="K88" s="2" t="e">
        <f>ExtrusionWidth</f>
        <v>#NAME?</v>
      </c>
      <c r="L88" s="2" t="e">
        <f>ExtrusionHeight</f>
        <v>#NAME?</v>
      </c>
      <c r="M88" s="2"/>
      <c r="N88" s="2"/>
      <c r="O88" s="2"/>
      <c r="P88" s="2"/>
      <c r="Q88" s="2"/>
      <c r="S88" s="46"/>
      <c r="T88" s="46"/>
      <c r="U88" s="70"/>
    </row>
    <row r="89" spans="1:34" x14ac:dyDescent="0.25">
      <c r="A89" s="2">
        <v>8</v>
      </c>
      <c r="B89" s="2" t="s">
        <v>55</v>
      </c>
      <c r="C89" s="77" t="s">
        <v>667</v>
      </c>
      <c r="D89" s="2" t="e">
        <f>4*ExtrusionSpacing_L1</f>
        <v>#NAME?</v>
      </c>
      <c r="E89" s="2">
        <v>0</v>
      </c>
      <c r="F89" s="2">
        <v>0</v>
      </c>
      <c r="G89" s="2">
        <v>20</v>
      </c>
      <c r="H89" s="2"/>
      <c r="I89" s="2"/>
      <c r="J89" s="2"/>
      <c r="K89" s="2"/>
      <c r="L89" s="2"/>
      <c r="M89" s="2"/>
      <c r="N89" s="2"/>
      <c r="O89" s="2"/>
      <c r="P89" s="2"/>
      <c r="Q89" s="2"/>
      <c r="S89" s="5" t="s">
        <v>338</v>
      </c>
      <c r="T89" s="95">
        <v>65</v>
      </c>
      <c r="U89" s="5" t="s">
        <v>43</v>
      </c>
      <c r="V89" s="95">
        <v>60</v>
      </c>
      <c r="W89" s="96">
        <v>60</v>
      </c>
      <c r="X89" s="107">
        <v>60</v>
      </c>
      <c r="Y89" s="97">
        <v>60</v>
      </c>
      <c r="Z89" s="99">
        <v>60</v>
      </c>
      <c r="AA89" s="100">
        <v>60</v>
      </c>
      <c r="AB89" s="100">
        <v>60</v>
      </c>
      <c r="AC89" s="104">
        <v>60</v>
      </c>
      <c r="AD89" s="105">
        <v>60</v>
      </c>
      <c r="AE89" s="106">
        <v>60</v>
      </c>
      <c r="AF89" s="108">
        <v>60</v>
      </c>
      <c r="AG89" s="102">
        <v>60</v>
      </c>
      <c r="AH89" s="109">
        <v>60</v>
      </c>
    </row>
    <row r="90" spans="1:34" x14ac:dyDescent="0.25">
      <c r="A90" s="2">
        <v>9</v>
      </c>
      <c r="B90" s="91"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91"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91" t="s">
        <v>49</v>
      </c>
      <c r="C92" s="2" t="s">
        <v>634</v>
      </c>
      <c r="D92" s="2"/>
      <c r="E92" s="2"/>
      <c r="F92" s="91"/>
      <c r="G92" s="2"/>
      <c r="H92" s="2"/>
      <c r="I92" s="2"/>
      <c r="J92" s="2"/>
      <c r="K92" s="2"/>
      <c r="L92" s="2"/>
      <c r="M92" s="2"/>
      <c r="N92" s="2"/>
      <c r="O92" s="2"/>
      <c r="P92" s="2"/>
      <c r="Q92" s="2"/>
      <c r="S92" s="5" t="s">
        <v>41</v>
      </c>
      <c r="T92" s="95">
        <v>220</v>
      </c>
      <c r="U92" s="5" t="s">
        <v>43</v>
      </c>
      <c r="V92" s="95">
        <v>210</v>
      </c>
      <c r="W92" s="96">
        <v>210</v>
      </c>
      <c r="X92" s="107">
        <v>210</v>
      </c>
      <c r="Y92" s="97">
        <v>215</v>
      </c>
      <c r="Z92" s="99">
        <v>220</v>
      </c>
      <c r="AA92" s="100">
        <v>210</v>
      </c>
      <c r="AB92" s="100">
        <v>210</v>
      </c>
      <c r="AC92" s="104">
        <v>210</v>
      </c>
      <c r="AD92" s="105">
        <v>210</v>
      </c>
      <c r="AE92" s="106">
        <v>210</v>
      </c>
      <c r="AF92" s="108">
        <v>210</v>
      </c>
      <c r="AG92" s="102">
        <v>210</v>
      </c>
      <c r="AH92" s="109">
        <v>210</v>
      </c>
    </row>
    <row r="93" spans="1:34" x14ac:dyDescent="0.25">
      <c r="A93" s="2">
        <v>12</v>
      </c>
      <c r="B93" s="111"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95">
        <v>1.75</v>
      </c>
      <c r="U93" s="5" t="s">
        <v>44</v>
      </c>
      <c r="V93" s="95">
        <v>2.85</v>
      </c>
      <c r="W93" s="96">
        <v>1.75</v>
      </c>
      <c r="X93" s="107">
        <v>1.75</v>
      </c>
      <c r="Y93" s="98">
        <v>1.75</v>
      </c>
      <c r="Z93" s="99">
        <v>1.75</v>
      </c>
      <c r="AA93" s="100">
        <v>1.75</v>
      </c>
      <c r="AB93" s="100">
        <v>1.75</v>
      </c>
      <c r="AC93" s="104">
        <v>1.75</v>
      </c>
      <c r="AD93" s="105">
        <v>1.75</v>
      </c>
      <c r="AE93" s="106">
        <v>1.75</v>
      </c>
      <c r="AF93" s="108">
        <v>1.75</v>
      </c>
      <c r="AG93" s="102">
        <v>2.85</v>
      </c>
      <c r="AH93" s="109">
        <v>1.75</v>
      </c>
    </row>
    <row r="94" spans="1:34" x14ac:dyDescent="0.25">
      <c r="A94" s="2">
        <v>13</v>
      </c>
      <c r="B94" s="91" t="s">
        <v>1</v>
      </c>
      <c r="C94" s="2" t="s">
        <v>18</v>
      </c>
      <c r="D94" s="2" t="e">
        <f>StartX+ExtrusionSpacing_L1</f>
        <v>#NAME?</v>
      </c>
      <c r="E94" s="2" t="e">
        <f>StartY+Length+ExtrusionSpacing_L1</f>
        <v>#NAME?</v>
      </c>
      <c r="F94" s="2">
        <v>1E-4</v>
      </c>
      <c r="G94" s="2" t="s">
        <v>100</v>
      </c>
      <c r="H94" s="2" t="str">
        <f>CONCATENATE("R-", Length)</f>
        <v>R-50</v>
      </c>
      <c r="I94" s="2" t="s">
        <v>100</v>
      </c>
      <c r="J94" s="2" t="s">
        <v>19</v>
      </c>
      <c r="K94" s="2" t="e">
        <f>ExtrusionWidth</f>
        <v>#NAME?</v>
      </c>
      <c r="L94" s="2" t="e">
        <f>ExtrusionHeight</f>
        <v>#NAME?</v>
      </c>
      <c r="M94" s="2"/>
      <c r="N94" s="2"/>
      <c r="O94" s="2"/>
      <c r="P94" s="2"/>
      <c r="Q94" s="2"/>
      <c r="S94" s="5" t="s">
        <v>46</v>
      </c>
      <c r="T94" s="95">
        <v>33</v>
      </c>
      <c r="U94" s="5" t="s">
        <v>90</v>
      </c>
      <c r="V94" s="95" t="s">
        <v>82</v>
      </c>
      <c r="W94" s="96" t="s">
        <v>44</v>
      </c>
      <c r="X94" s="107" t="s">
        <v>44</v>
      </c>
      <c r="Y94" s="98" t="s">
        <v>44</v>
      </c>
      <c r="Z94" s="99" t="s">
        <v>44</v>
      </c>
      <c r="AA94" s="100" t="s">
        <v>44</v>
      </c>
      <c r="AB94" s="100" t="s">
        <v>44</v>
      </c>
      <c r="AC94" s="104" t="s">
        <v>44</v>
      </c>
      <c r="AD94" s="105" t="s">
        <v>44</v>
      </c>
      <c r="AE94" s="106" t="s">
        <v>44</v>
      </c>
      <c r="AF94" s="108" t="s">
        <v>44</v>
      </c>
      <c r="AG94" s="102" t="s">
        <v>82</v>
      </c>
      <c r="AH94" s="109" t="s">
        <v>44</v>
      </c>
    </row>
    <row r="95" spans="1:34" x14ac:dyDescent="0.25">
      <c r="A95" s="2">
        <v>14</v>
      </c>
      <c r="B95" s="91"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95" t="s">
        <v>635</v>
      </c>
      <c r="U95" s="5"/>
      <c r="V95" s="95" t="s">
        <v>153</v>
      </c>
      <c r="W95" s="96" t="s">
        <v>394</v>
      </c>
      <c r="X95" s="107" t="s">
        <v>393</v>
      </c>
      <c r="Y95" s="23" t="s">
        <v>455</v>
      </c>
      <c r="Z95" s="99" t="s">
        <v>425</v>
      </c>
      <c r="AA95" s="100" t="s">
        <v>465</v>
      </c>
      <c r="AB95" s="100" t="s">
        <v>466</v>
      </c>
      <c r="AC95" s="104" t="s">
        <v>489</v>
      </c>
      <c r="AD95" s="105" t="s">
        <v>504</v>
      </c>
      <c r="AE95" s="106" t="s">
        <v>554</v>
      </c>
      <c r="AF95" s="108" t="s">
        <v>558</v>
      </c>
      <c r="AG95" s="102" t="s">
        <v>591</v>
      </c>
      <c r="AH95" s="109" t="s">
        <v>592</v>
      </c>
    </row>
    <row r="96" spans="1:34" x14ac:dyDescent="0.25">
      <c r="A96" s="2">
        <v>15</v>
      </c>
      <c r="B96" s="91" t="s">
        <v>1</v>
      </c>
      <c r="C96" s="2" t="s">
        <v>18</v>
      </c>
      <c r="D96" s="2" t="s">
        <v>100</v>
      </c>
      <c r="E96" s="2" t="s">
        <v>100</v>
      </c>
      <c r="F96" s="2" t="s">
        <v>100</v>
      </c>
      <c r="G96" s="2" t="s">
        <v>100</v>
      </c>
      <c r="H96" s="2" t="str" cm="1">
        <f t="array" ref="H96">CONCATENATE("R", Length)</f>
        <v>R50</v>
      </c>
      <c r="I96" s="2" t="s">
        <v>100</v>
      </c>
      <c r="J96" s="2" t="s">
        <v>19</v>
      </c>
      <c r="K96" s="2" t="e">
        <f>ExtrusionWidth</f>
        <v>#NAME?</v>
      </c>
      <c r="L96" s="2" t="e">
        <f>ExtrusionHeight</f>
        <v>#NAME?</v>
      </c>
      <c r="M96" s="2"/>
      <c r="N96" s="2"/>
      <c r="O96" s="2"/>
      <c r="P96" s="2"/>
      <c r="Q96" s="2"/>
      <c r="S96" s="5" t="s">
        <v>152</v>
      </c>
      <c r="T96" s="95" t="s">
        <v>635</v>
      </c>
      <c r="U96" s="5"/>
      <c r="V96" s="95" t="s">
        <v>125</v>
      </c>
      <c r="W96" s="96" t="s">
        <v>394</v>
      </c>
      <c r="X96" s="107" t="s">
        <v>393</v>
      </c>
      <c r="Y96" s="23" t="s">
        <v>455</v>
      </c>
      <c r="Z96" s="99" t="s">
        <v>425</v>
      </c>
      <c r="AA96" s="100" t="s">
        <v>465</v>
      </c>
      <c r="AB96" s="100" t="s">
        <v>466</v>
      </c>
      <c r="AC96" s="104" t="s">
        <v>489</v>
      </c>
      <c r="AD96" s="105" t="s">
        <v>504</v>
      </c>
      <c r="AE96" s="106" t="s">
        <v>554</v>
      </c>
      <c r="AF96" s="108" t="s">
        <v>558</v>
      </c>
      <c r="AG96" s="102" t="s">
        <v>591</v>
      </c>
      <c r="AH96" s="109" t="s">
        <v>592</v>
      </c>
    </row>
    <row r="97" spans="1:22" x14ac:dyDescent="0.25">
      <c r="A97" s="2">
        <v>16</v>
      </c>
      <c r="B97" s="91"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22" x14ac:dyDescent="0.25">
      <c r="A98" s="2">
        <v>17</v>
      </c>
      <c r="B98" s="91" t="s">
        <v>55</v>
      </c>
      <c r="C98" s="77"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22" x14ac:dyDescent="0.25">
      <c r="A99" s="2">
        <v>18</v>
      </c>
      <c r="B99" s="91"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22" x14ac:dyDescent="0.25">
      <c r="A100" s="2">
        <v>19</v>
      </c>
      <c r="B100" s="111"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62" t="s">
        <v>339</v>
      </c>
      <c r="T100" s="5">
        <v>0</v>
      </c>
      <c r="U100" s="5"/>
      <c r="V100" s="1"/>
    </row>
    <row r="101" spans="1:22"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22" x14ac:dyDescent="0.25">
      <c r="A102" s="2">
        <v>21</v>
      </c>
      <c r="B102" s="2" t="s">
        <v>1</v>
      </c>
      <c r="C102" s="2" t="s">
        <v>18</v>
      </c>
      <c r="D102" s="2" t="s">
        <v>100</v>
      </c>
      <c r="E102" s="2" t="s">
        <v>100</v>
      </c>
      <c r="F102" s="2" t="s">
        <v>100</v>
      </c>
      <c r="G102" s="2" t="s">
        <v>100</v>
      </c>
      <c r="H102" s="2" t="str" cm="1">
        <f t="array" ref="H102">CONCATENATE("R", Length)</f>
        <v>R50</v>
      </c>
      <c r="I102" s="2" t="s">
        <v>100</v>
      </c>
      <c r="J102" s="2" t="s">
        <v>19</v>
      </c>
      <c r="K102" s="2" t="e">
        <f>ExtrusionWidth</f>
        <v>#NAME?</v>
      </c>
      <c r="L102" s="2" t="e">
        <f>ExtrusionHeight</f>
        <v>#NAME?</v>
      </c>
      <c r="M102" s="2"/>
      <c r="N102" s="2"/>
      <c r="O102" s="2"/>
      <c r="P102" s="2"/>
      <c r="Q102" s="2"/>
      <c r="S102" s="5" t="s">
        <v>159</v>
      </c>
      <c r="T102" s="5">
        <v>2</v>
      </c>
      <c r="U102" s="5" t="s">
        <v>44</v>
      </c>
      <c r="V102" s="1"/>
    </row>
    <row r="103" spans="1:22"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22" x14ac:dyDescent="0.25">
      <c r="A104" s="2">
        <v>23</v>
      </c>
      <c r="B104" s="2" t="s">
        <v>1</v>
      </c>
      <c r="C104" s="2" t="s">
        <v>18</v>
      </c>
      <c r="D104" s="2" t="s">
        <v>100</v>
      </c>
      <c r="E104" s="2" t="s">
        <v>100</v>
      </c>
      <c r="F104" s="2" t="s">
        <v>100</v>
      </c>
      <c r="G104" s="2" t="s">
        <v>100</v>
      </c>
      <c r="H104" s="2" t="str">
        <f>CONCATENATE("R-", Length)</f>
        <v>R-50</v>
      </c>
      <c r="I104" s="2" t="s">
        <v>100</v>
      </c>
      <c r="J104" s="2" t="s">
        <v>19</v>
      </c>
      <c r="K104" s="2" t="e">
        <f>ExtrusionWidth</f>
        <v>#NAME?</v>
      </c>
      <c r="L104" s="2" t="e">
        <f>ExtrusionHeight</f>
        <v>#NAME?</v>
      </c>
      <c r="M104" s="2"/>
      <c r="N104" s="2"/>
      <c r="O104" s="2"/>
      <c r="P104" s="2"/>
      <c r="Q104" s="2"/>
      <c r="S104" s="5" t="s">
        <v>161</v>
      </c>
      <c r="T104" s="5">
        <v>2500</v>
      </c>
      <c r="U104" s="5" t="s">
        <v>45</v>
      </c>
    </row>
    <row r="105" spans="1:22" x14ac:dyDescent="0.25">
      <c r="A105" s="2">
        <v>24</v>
      </c>
      <c r="B105" s="91" t="s">
        <v>55</v>
      </c>
      <c r="C105" s="77"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22" x14ac:dyDescent="0.25">
      <c r="A106" s="2">
        <v>25</v>
      </c>
      <c r="B106" s="91" t="s">
        <v>49</v>
      </c>
      <c r="C106" s="2" t="s">
        <v>675</v>
      </c>
      <c r="D106" s="2"/>
      <c r="E106" s="2"/>
      <c r="F106" s="2"/>
      <c r="G106" s="2"/>
      <c r="H106" s="2"/>
      <c r="I106" s="2"/>
      <c r="J106" s="2"/>
      <c r="K106" s="2"/>
      <c r="L106" s="2"/>
      <c r="M106" s="2"/>
      <c r="N106" s="2"/>
      <c r="O106" s="2"/>
      <c r="P106" s="2"/>
      <c r="Q106" s="2"/>
      <c r="S106" s="3" t="s">
        <v>163</v>
      </c>
      <c r="T106" s="3">
        <f>T104</f>
        <v>2500</v>
      </c>
      <c r="U106" s="5" t="s">
        <v>45</v>
      </c>
    </row>
    <row r="107" spans="1:22" x14ac:dyDescent="0.25">
      <c r="A107" s="2">
        <v>26</v>
      </c>
      <c r="B107" s="91" t="s">
        <v>49</v>
      </c>
      <c r="C107" s="2" t="s">
        <v>203</v>
      </c>
      <c r="D107" s="2">
        <v>0</v>
      </c>
      <c r="E107" s="2"/>
      <c r="F107" s="2"/>
      <c r="G107" s="2"/>
      <c r="H107" s="91"/>
      <c r="I107" s="2"/>
      <c r="J107" s="2"/>
      <c r="K107" s="2"/>
      <c r="L107" s="2"/>
      <c r="M107" s="2"/>
      <c r="N107" s="2"/>
      <c r="O107" s="2"/>
      <c r="P107" s="2"/>
      <c r="Q107" s="2"/>
      <c r="S107" s="3" t="s">
        <v>164</v>
      </c>
      <c r="T107" s="3">
        <v>0.65</v>
      </c>
      <c r="U107" s="5" t="s">
        <v>44</v>
      </c>
    </row>
    <row r="108" spans="1:22" x14ac:dyDescent="0.25">
      <c r="A108" s="2">
        <v>27</v>
      </c>
      <c r="B108" s="91" t="s">
        <v>49</v>
      </c>
      <c r="C108" s="2" t="s">
        <v>634</v>
      </c>
      <c r="D108" s="2"/>
      <c r="E108" s="2"/>
      <c r="F108" s="2"/>
      <c r="G108" s="2"/>
      <c r="H108" s="2"/>
      <c r="I108" s="2"/>
      <c r="J108" s="2"/>
      <c r="K108" s="2"/>
      <c r="L108" s="2"/>
      <c r="M108" s="2"/>
      <c r="N108" s="2"/>
      <c r="O108" s="2"/>
      <c r="P108" s="2"/>
      <c r="Q108" s="2"/>
      <c r="S108" s="3" t="s">
        <v>165</v>
      </c>
      <c r="T108" s="3">
        <v>10000</v>
      </c>
      <c r="U108" s="5" t="s">
        <v>45</v>
      </c>
    </row>
    <row r="109" spans="1:22" x14ac:dyDescent="0.25">
      <c r="A109" s="2">
        <v>28</v>
      </c>
      <c r="B109" s="111" t="s">
        <v>658</v>
      </c>
      <c r="C109" s="2" t="s">
        <v>18</v>
      </c>
      <c r="D109" s="2" t="s">
        <v>100</v>
      </c>
      <c r="E109" s="2" t="s">
        <v>100</v>
      </c>
      <c r="F109" s="2" t="s">
        <v>100</v>
      </c>
      <c r="G109" s="2">
        <v>50</v>
      </c>
      <c r="H109" s="2">
        <v>50</v>
      </c>
      <c r="I109" s="2" t="e">
        <f>LayerHeight</f>
        <v>#NAME?</v>
      </c>
      <c r="J109" s="2" t="s">
        <v>23</v>
      </c>
      <c r="K109" s="2"/>
      <c r="L109" s="2"/>
      <c r="M109" s="2"/>
      <c r="N109" s="2"/>
      <c r="O109" s="2"/>
      <c r="P109" s="2"/>
      <c r="Q109" s="2"/>
      <c r="U109" s="69"/>
    </row>
    <row r="110" spans="1:22" x14ac:dyDescent="0.25">
      <c r="A110" s="2">
        <v>29</v>
      </c>
      <c r="B110" s="91" t="s">
        <v>1</v>
      </c>
      <c r="C110" s="2" t="s">
        <v>18</v>
      </c>
      <c r="D110" s="2" t="e">
        <f>StartX+ExtrusionSpacing_L1</f>
        <v>#NAME?</v>
      </c>
      <c r="E110" s="2" t="e">
        <f>StartY+Length+ExtrusionSpacing_L1</f>
        <v>#NAME?</v>
      </c>
      <c r="F110" s="2">
        <v>0.9</v>
      </c>
      <c r="G110" s="2" t="s">
        <v>100</v>
      </c>
      <c r="H110" s="2" t="str">
        <f>CONCATENATE("R-", Length)</f>
        <v>R-50</v>
      </c>
      <c r="I110" s="2" t="s">
        <v>100</v>
      </c>
      <c r="J110" s="2" t="s">
        <v>19</v>
      </c>
      <c r="K110" s="2" t="e">
        <f>ExtrusionWidth</f>
        <v>#NAME?</v>
      </c>
      <c r="L110" s="2" t="e">
        <f>ExtrusionHeight</f>
        <v>#NAME?</v>
      </c>
      <c r="M110" s="2"/>
      <c r="N110" s="2"/>
      <c r="O110" s="91"/>
      <c r="P110" s="2"/>
      <c r="Q110" s="2"/>
      <c r="S110" s="75" t="s">
        <v>292</v>
      </c>
      <c r="T110" s="75" t="s">
        <v>293</v>
      </c>
      <c r="U110" s="76" t="s">
        <v>331</v>
      </c>
    </row>
    <row r="111" spans="1:22" x14ac:dyDescent="0.25">
      <c r="A111" s="2">
        <v>30</v>
      </c>
      <c r="B111" s="91"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S111" s="59" t="s">
        <v>662</v>
      </c>
      <c r="T111" s="59">
        <v>1.35</v>
      </c>
      <c r="U111" s="71" t="s">
        <v>109</v>
      </c>
    </row>
    <row r="112" spans="1:22" x14ac:dyDescent="0.25">
      <c r="A112" s="2">
        <v>31</v>
      </c>
      <c r="B112" s="91" t="s">
        <v>1</v>
      </c>
      <c r="C112" s="2" t="s">
        <v>18</v>
      </c>
      <c r="D112" s="2" t="s">
        <v>100</v>
      </c>
      <c r="E112" s="2" t="s">
        <v>100</v>
      </c>
      <c r="F112" s="2" t="s">
        <v>100</v>
      </c>
      <c r="G112" s="2" t="s">
        <v>100</v>
      </c>
      <c r="H112" s="2" t="str" cm="1">
        <f t="array" ref="H112">CONCATENATE("R", Length)</f>
        <v>R50</v>
      </c>
      <c r="I112" s="2" t="s">
        <v>100</v>
      </c>
      <c r="J112" s="2" t="s">
        <v>19</v>
      </c>
      <c r="K112" s="2" t="e">
        <f>ExtrusionWidth</f>
        <v>#NAME?</v>
      </c>
      <c r="L112" s="2" t="e">
        <f>ExtrusionHeight</f>
        <v>#NAME?</v>
      </c>
      <c r="M112" s="2"/>
      <c r="N112" s="2"/>
      <c r="O112" s="2"/>
      <c r="P112" s="2"/>
      <c r="Q112" s="2"/>
      <c r="S112" s="59" t="s">
        <v>661</v>
      </c>
      <c r="T112" s="59">
        <v>1.1000000000000001</v>
      </c>
      <c r="U112" s="71" t="s">
        <v>109</v>
      </c>
    </row>
    <row r="113" spans="1:46" x14ac:dyDescent="0.25">
      <c r="A113" s="2">
        <v>32</v>
      </c>
      <c r="B113" s="91"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59" t="s">
        <v>672</v>
      </c>
      <c r="T113" s="59">
        <v>1.2</v>
      </c>
      <c r="U113" s="71" t="s">
        <v>109</v>
      </c>
    </row>
    <row r="114" spans="1:46" x14ac:dyDescent="0.25">
      <c r="A114" s="2">
        <v>33</v>
      </c>
      <c r="B114" s="2" t="s">
        <v>55</v>
      </c>
      <c r="C114" s="77" t="s">
        <v>676</v>
      </c>
      <c r="D114" s="2" t="e">
        <f>4*ExtrusionSpacing_L1</f>
        <v>#NAME?</v>
      </c>
      <c r="E114" s="2">
        <v>0</v>
      </c>
      <c r="F114" s="2">
        <v>0</v>
      </c>
      <c r="G114" s="2">
        <v>20</v>
      </c>
      <c r="H114" s="2"/>
      <c r="I114" s="2"/>
      <c r="J114" s="2"/>
      <c r="K114" s="2"/>
      <c r="L114" s="2"/>
      <c r="M114" s="2"/>
      <c r="N114" s="2"/>
      <c r="O114" s="2"/>
      <c r="P114" s="2"/>
      <c r="Q114" s="2"/>
      <c r="S114" s="59" t="s">
        <v>673</v>
      </c>
      <c r="T114" s="59">
        <v>0.9</v>
      </c>
      <c r="U114" s="71" t="s">
        <v>109</v>
      </c>
      <c r="AO114" t="s">
        <v>130</v>
      </c>
      <c r="AP114" t="s">
        <v>671</v>
      </c>
      <c r="AQ114" t="s">
        <v>129</v>
      </c>
      <c r="AR114" t="s">
        <v>670</v>
      </c>
      <c r="AS114" t="s">
        <v>128</v>
      </c>
      <c r="AT114" t="s">
        <v>617</v>
      </c>
    </row>
    <row r="115" spans="1:46" x14ac:dyDescent="0.25">
      <c r="A115" s="2">
        <v>34</v>
      </c>
      <c r="B115" s="91" t="s">
        <v>39</v>
      </c>
      <c r="C115" s="2">
        <v>1.25</v>
      </c>
      <c r="D115" s="2">
        <v>2100</v>
      </c>
      <c r="E115" s="2" t="e">
        <f>LayerHeight</f>
        <v>#NAME?</v>
      </c>
      <c r="F115" s="2">
        <v>10000</v>
      </c>
      <c r="G115" s="2"/>
      <c r="H115" s="2"/>
      <c r="I115" s="2"/>
      <c r="J115" s="2"/>
      <c r="K115" s="2"/>
      <c r="L115" s="2"/>
      <c r="M115" s="2"/>
      <c r="N115" s="2"/>
      <c r="O115" s="2"/>
      <c r="P115" s="2"/>
      <c r="Q115" s="2"/>
      <c r="S115" s="59" t="s">
        <v>644</v>
      </c>
      <c r="T115" s="59" t="s">
        <v>467</v>
      </c>
      <c r="U115" s="71" t="s">
        <v>109</v>
      </c>
    </row>
    <row r="116" spans="1:46" x14ac:dyDescent="0.25">
      <c r="A116" s="2">
        <v>35</v>
      </c>
      <c r="B116" s="91" t="s">
        <v>55</v>
      </c>
      <c r="C116" s="2" t="s">
        <v>677</v>
      </c>
      <c r="D116" s="2">
        <v>0</v>
      </c>
      <c r="E116" s="2">
        <v>0</v>
      </c>
      <c r="F116" s="2" t="e">
        <f>2*LayerHeight</f>
        <v>#NAME?</v>
      </c>
      <c r="G116" s="2">
        <v>20</v>
      </c>
      <c r="H116" s="2"/>
      <c r="I116" s="2"/>
      <c r="J116" s="2"/>
      <c r="K116" s="2"/>
      <c r="L116" s="2"/>
      <c r="M116" s="2"/>
      <c r="N116" s="2"/>
      <c r="O116" s="2"/>
      <c r="P116" s="2"/>
      <c r="Q116" s="2"/>
      <c r="R116" s="64"/>
      <c r="S116" s="59" t="s">
        <v>309</v>
      </c>
      <c r="T116" s="59">
        <v>0.9</v>
      </c>
      <c r="U116" s="71" t="s">
        <v>109</v>
      </c>
      <c r="V116" s="64"/>
      <c r="W116" s="64"/>
      <c r="X116" s="64"/>
      <c r="Y116" s="64"/>
      <c r="Z116" s="64"/>
      <c r="AA116" s="64"/>
      <c r="AB116" s="64"/>
      <c r="AC116" s="64"/>
      <c r="AD116" s="64"/>
      <c r="AE116" s="64"/>
      <c r="AF116" s="64"/>
      <c r="AG116" s="64"/>
      <c r="AH116" s="64"/>
      <c r="AI116" s="64"/>
      <c r="AJ116" s="64"/>
      <c r="AK116" s="64"/>
      <c r="AL116" s="64"/>
      <c r="AM116" s="64"/>
      <c r="AN116" s="64"/>
    </row>
    <row r="117" spans="1:46" x14ac:dyDescent="0.25">
      <c r="A117" s="2">
        <v>36</v>
      </c>
      <c r="B117" s="91"/>
      <c r="C117" s="2"/>
      <c r="D117" s="2"/>
      <c r="E117" s="2"/>
      <c r="F117" s="2"/>
      <c r="G117" s="2"/>
      <c r="H117" s="2"/>
      <c r="I117" s="2"/>
      <c r="J117" s="2"/>
      <c r="K117" s="2"/>
      <c r="L117" s="2"/>
      <c r="M117" s="2"/>
      <c r="N117" s="2"/>
      <c r="O117" s="2"/>
      <c r="P117" s="2"/>
      <c r="Q117" s="2"/>
      <c r="R117" s="64"/>
      <c r="S117" s="59" t="s">
        <v>678</v>
      </c>
      <c r="T117" s="59">
        <v>50</v>
      </c>
      <c r="U117" s="71" t="s">
        <v>109</v>
      </c>
      <c r="V117" s="64"/>
      <c r="W117" s="64"/>
      <c r="X117" s="64"/>
      <c r="Y117" s="64"/>
      <c r="Z117" s="64"/>
      <c r="AA117" s="64"/>
      <c r="AB117" s="64"/>
      <c r="AC117" s="64"/>
      <c r="AD117" s="64"/>
      <c r="AE117" s="64"/>
      <c r="AF117" s="64"/>
      <c r="AG117" s="64"/>
      <c r="AH117" s="64"/>
      <c r="AI117" s="64"/>
      <c r="AJ117" s="64"/>
      <c r="AK117" s="64"/>
      <c r="AL117" s="64"/>
      <c r="AM117" s="64"/>
      <c r="AN117" s="64"/>
    </row>
    <row r="118" spans="1:46" x14ac:dyDescent="0.25">
      <c r="A118" s="2">
        <v>37</v>
      </c>
      <c r="B118" s="91"/>
      <c r="C118" s="2"/>
      <c r="D118" s="2"/>
      <c r="E118" s="2"/>
      <c r="F118" s="2"/>
      <c r="G118" s="2"/>
      <c r="H118" s="2"/>
      <c r="I118" s="2"/>
      <c r="J118" s="2"/>
      <c r="K118" s="2"/>
      <c r="L118" s="2"/>
      <c r="M118" s="2"/>
      <c r="N118" s="2"/>
      <c r="O118" s="2"/>
      <c r="P118" s="2"/>
      <c r="Q118" s="2"/>
      <c r="R118" s="64"/>
      <c r="S118" s="59" t="s">
        <v>271</v>
      </c>
      <c r="T118" s="59">
        <v>50</v>
      </c>
      <c r="U118" s="71" t="s">
        <v>109</v>
      </c>
      <c r="V118" s="64"/>
      <c r="W118" s="64"/>
      <c r="X118" s="64"/>
      <c r="Y118" s="64"/>
      <c r="Z118" s="64"/>
      <c r="AA118" s="64"/>
      <c r="AB118" s="64"/>
      <c r="AC118" s="64"/>
      <c r="AD118" s="64"/>
      <c r="AE118" s="64"/>
      <c r="AF118" s="64"/>
      <c r="AG118" s="64"/>
      <c r="AH118" s="64"/>
      <c r="AI118" s="64"/>
      <c r="AJ118" s="64"/>
      <c r="AK118" s="64"/>
      <c r="AL118" s="64"/>
      <c r="AM118" s="64"/>
      <c r="AN118" s="64"/>
    </row>
    <row r="119" spans="1:46" x14ac:dyDescent="0.25">
      <c r="A119" s="2">
        <v>38</v>
      </c>
      <c r="B119" s="91"/>
      <c r="C119" s="2"/>
      <c r="D119" s="2"/>
      <c r="E119" s="2"/>
      <c r="F119" s="2"/>
      <c r="G119" s="2"/>
      <c r="H119" s="2"/>
      <c r="I119" s="2"/>
      <c r="J119" s="2"/>
      <c r="K119" s="2"/>
      <c r="L119" s="2"/>
      <c r="M119" s="2"/>
      <c r="N119" s="2"/>
      <c r="O119" s="2"/>
      <c r="P119" s="2"/>
      <c r="Q119" s="2"/>
      <c r="R119" s="64"/>
      <c r="S119" s="59" t="s">
        <v>272</v>
      </c>
      <c r="T119" s="59">
        <v>75</v>
      </c>
      <c r="U119" s="71" t="s">
        <v>109</v>
      </c>
      <c r="V119" s="64"/>
      <c r="W119" s="64"/>
      <c r="X119" s="64"/>
      <c r="Y119" s="64"/>
      <c r="Z119" s="64"/>
      <c r="AA119" s="64"/>
      <c r="AB119" s="64"/>
      <c r="AC119" s="64"/>
      <c r="AD119" s="64"/>
      <c r="AE119" s="64"/>
      <c r="AF119" s="64"/>
      <c r="AG119" s="64"/>
      <c r="AH119" s="64"/>
      <c r="AI119" s="64"/>
      <c r="AJ119" s="64"/>
      <c r="AK119" s="64"/>
      <c r="AL119" s="64"/>
      <c r="AM119" s="64"/>
      <c r="AN119" s="64"/>
    </row>
    <row r="120" spans="1:46" x14ac:dyDescent="0.25">
      <c r="A120" s="2">
        <v>39</v>
      </c>
      <c r="B120" s="91"/>
      <c r="C120" s="2"/>
      <c r="D120" s="2"/>
      <c r="E120" s="2"/>
      <c r="F120" s="2"/>
      <c r="G120" s="2"/>
      <c r="H120" s="2"/>
      <c r="I120" s="2"/>
      <c r="J120" s="2"/>
      <c r="K120" s="2"/>
      <c r="L120" s="2"/>
      <c r="M120" s="2"/>
      <c r="N120" s="2"/>
      <c r="O120" s="2"/>
      <c r="P120" s="2"/>
      <c r="Q120" s="2"/>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row>
    <row r="121" spans="1:46" x14ac:dyDescent="0.25">
      <c r="A121" s="2">
        <v>40</v>
      </c>
      <c r="B121" s="91"/>
      <c r="C121" s="2"/>
      <c r="D121" s="2"/>
      <c r="E121" s="2"/>
      <c r="F121" s="2"/>
      <c r="G121" s="2"/>
      <c r="H121" s="2"/>
      <c r="I121" s="2"/>
      <c r="J121" s="2"/>
      <c r="K121" s="2"/>
      <c r="L121" s="2"/>
      <c r="M121" s="2"/>
      <c r="N121" s="2"/>
      <c r="O121" s="2"/>
      <c r="P121" s="2"/>
      <c r="Q121" s="2"/>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row>
    <row r="123" spans="1:46" x14ac:dyDescent="0.25">
      <c r="C123" s="112"/>
    </row>
    <row r="132" spans="3:3" x14ac:dyDescent="0.25">
      <c r="C132" s="112"/>
    </row>
    <row r="135" spans="3:3" x14ac:dyDescent="0.25">
      <c r="C135" s="112"/>
    </row>
    <row r="139" spans="3:3" x14ac:dyDescent="0.25">
      <c r="C139" s="112"/>
    </row>
    <row r="142" spans="3:3" x14ac:dyDescent="0.25">
      <c r="C142" s="112"/>
    </row>
    <row r="150" spans="35:40" x14ac:dyDescent="0.25">
      <c r="AI150" s="64"/>
      <c r="AJ150" s="64"/>
      <c r="AK150" s="64"/>
      <c r="AL150" s="64"/>
      <c r="AM150" s="64"/>
      <c r="AN150" s="64"/>
    </row>
    <row r="151" spans="35:40" x14ac:dyDescent="0.25">
      <c r="AI151" s="64"/>
      <c r="AJ151" s="64"/>
      <c r="AK151" s="64"/>
      <c r="AL151" s="64"/>
      <c r="AM151" s="64"/>
      <c r="AN151" s="64"/>
    </row>
    <row r="152" spans="35:40" x14ac:dyDescent="0.25">
      <c r="AI152" s="64"/>
      <c r="AJ152" s="64"/>
      <c r="AK152" s="64"/>
      <c r="AL152" s="64"/>
      <c r="AM152" s="64"/>
      <c r="AN152" s="64"/>
    </row>
    <row r="153" spans="35:40" x14ac:dyDescent="0.25">
      <c r="AI153" s="64"/>
      <c r="AJ153" s="64"/>
      <c r="AK153" s="64"/>
      <c r="AL153" s="64"/>
      <c r="AM153" s="64"/>
      <c r="AN153" s="64"/>
    </row>
    <row r="154" spans="35:40" x14ac:dyDescent="0.25">
      <c r="AI154" s="64"/>
      <c r="AJ154" s="64"/>
      <c r="AK154" s="64"/>
      <c r="AL154" s="64"/>
      <c r="AM154" s="64"/>
      <c r="AN154" s="64"/>
    </row>
    <row r="155" spans="35:40" x14ac:dyDescent="0.25">
      <c r="AI155" s="64"/>
      <c r="AJ155" s="64"/>
      <c r="AK155" s="64"/>
      <c r="AL155" s="64"/>
      <c r="AM155" s="64"/>
      <c r="AN155" s="64"/>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33" t="s">
        <v>129</v>
      </c>
      <c r="B3" s="2" t="s">
        <v>346</v>
      </c>
      <c r="C3" s="33" t="s">
        <v>128</v>
      </c>
      <c r="D3" s="2" t="s">
        <v>347</v>
      </c>
      <c r="U3" s="69"/>
      <c r="AO3" t="s">
        <v>130</v>
      </c>
      <c r="AP3" t="s">
        <v>348</v>
      </c>
      <c r="AQ3" t="s">
        <v>129</v>
      </c>
      <c r="AR3" t="s">
        <v>346</v>
      </c>
      <c r="AS3" t="s">
        <v>128</v>
      </c>
      <c r="AT3" t="s">
        <v>347</v>
      </c>
    </row>
    <row r="4" spans="1:46" x14ac:dyDescent="0.25">
      <c r="A4" s="32" t="s">
        <v>0</v>
      </c>
      <c r="B4" s="2"/>
      <c r="C4" s="2"/>
      <c r="D4" s="2"/>
      <c r="E4" s="2"/>
      <c r="F4" s="2"/>
      <c r="G4" s="2"/>
      <c r="H4" s="2"/>
      <c r="I4" s="2"/>
      <c r="J4" s="2"/>
      <c r="K4" s="2"/>
      <c r="L4" s="2"/>
      <c r="M4" s="2"/>
      <c r="N4" s="2"/>
      <c r="O4" s="2"/>
      <c r="P4" s="2"/>
      <c r="Q4" s="33" t="s">
        <v>289</v>
      </c>
      <c r="U4" s="6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74"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83"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81" t="s">
        <v>291</v>
      </c>
      <c r="C8" s="3">
        <v>3</v>
      </c>
      <c r="D8" s="82"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81" t="s">
        <v>291</v>
      </c>
      <c r="C9" s="3">
        <v>3</v>
      </c>
      <c r="D9" s="82"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81" t="s">
        <v>291</v>
      </c>
      <c r="C10" s="3">
        <v>3</v>
      </c>
      <c r="D10" s="82"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84" t="s">
        <v>294</v>
      </c>
      <c r="C11" s="14" t="s">
        <v>349</v>
      </c>
      <c r="D11" s="14" t="s">
        <v>25</v>
      </c>
      <c r="E11" s="14">
        <v>50</v>
      </c>
      <c r="F11" s="14">
        <v>50</v>
      </c>
      <c r="G11" s="14">
        <v>0</v>
      </c>
      <c r="H11" s="14">
        <v>0.4</v>
      </c>
      <c r="I11" s="14" t="s">
        <v>118</v>
      </c>
      <c r="J11" s="14" t="s">
        <v>118</v>
      </c>
      <c r="K11" s="14"/>
      <c r="L11" s="14"/>
      <c r="M11" s="14"/>
      <c r="N11" s="14"/>
      <c r="O11" s="14"/>
      <c r="P11" s="14"/>
      <c r="Q11" s="14" t="s">
        <v>378</v>
      </c>
      <c r="S11" s="46"/>
      <c r="T11" s="46"/>
      <c r="U11" s="70"/>
    </row>
    <row r="12" spans="1:46" x14ac:dyDescent="0.25">
      <c r="A12" s="85">
        <v>8</v>
      </c>
      <c r="B12" s="86" t="s">
        <v>291</v>
      </c>
      <c r="C12" s="85">
        <v>3</v>
      </c>
      <c r="D12" s="87" t="s">
        <v>285</v>
      </c>
      <c r="E12" s="85">
        <v>1</v>
      </c>
      <c r="F12" s="85">
        <v>150</v>
      </c>
      <c r="G12" s="85" t="s">
        <v>170</v>
      </c>
      <c r="H12" s="85">
        <v>50</v>
      </c>
      <c r="I12" s="85">
        <v>50</v>
      </c>
      <c r="J12" s="85">
        <v>0</v>
      </c>
      <c r="K12" s="85" t="s">
        <v>374</v>
      </c>
      <c r="L12" s="85">
        <v>0</v>
      </c>
      <c r="M12" s="85" t="s">
        <v>118</v>
      </c>
      <c r="N12" s="85" t="s">
        <v>118</v>
      </c>
      <c r="O12" s="85"/>
      <c r="P12" s="85"/>
      <c r="Q12" s="85" t="s">
        <v>379</v>
      </c>
      <c r="S12" s="5" t="s">
        <v>338</v>
      </c>
      <c r="T12" s="5">
        <v>60</v>
      </c>
      <c r="U12" s="5" t="s">
        <v>43</v>
      </c>
      <c r="V12" s="1"/>
    </row>
    <row r="13" spans="1:46" x14ac:dyDescent="0.25">
      <c r="A13" s="85">
        <v>9</v>
      </c>
      <c r="B13" s="86" t="s">
        <v>291</v>
      </c>
      <c r="C13" s="85">
        <v>3</v>
      </c>
      <c r="D13" s="87" t="s">
        <v>285</v>
      </c>
      <c r="E13" s="85">
        <v>1</v>
      </c>
      <c r="F13" s="85">
        <v>150</v>
      </c>
      <c r="G13" s="85" t="s">
        <v>138</v>
      </c>
      <c r="H13" s="85" t="s">
        <v>377</v>
      </c>
      <c r="I13" s="85">
        <v>0</v>
      </c>
      <c r="J13" s="85">
        <v>0</v>
      </c>
      <c r="K13" s="85" t="s">
        <v>118</v>
      </c>
      <c r="L13" s="85" t="s">
        <v>118</v>
      </c>
      <c r="M13" s="85"/>
      <c r="N13" s="85"/>
      <c r="O13" s="85"/>
      <c r="P13" s="85"/>
      <c r="Q13" s="85" t="s">
        <v>380</v>
      </c>
      <c r="S13" s="5" t="s">
        <v>85</v>
      </c>
      <c r="T13" s="5">
        <v>1000</v>
      </c>
      <c r="U13" s="5" t="s">
        <v>45</v>
      </c>
    </row>
    <row r="14" spans="1:46" x14ac:dyDescent="0.25">
      <c r="A14" s="59">
        <v>10</v>
      </c>
      <c r="B14" s="88" t="s">
        <v>291</v>
      </c>
      <c r="C14" s="59">
        <v>3</v>
      </c>
      <c r="D14" s="89" t="s">
        <v>285</v>
      </c>
      <c r="E14" s="59">
        <v>151</v>
      </c>
      <c r="F14" s="59">
        <v>200</v>
      </c>
      <c r="G14" s="59" t="s">
        <v>170</v>
      </c>
      <c r="H14" s="59">
        <v>50</v>
      </c>
      <c r="I14" s="59">
        <v>50</v>
      </c>
      <c r="J14" s="59">
        <v>0</v>
      </c>
      <c r="K14" s="59" t="s">
        <v>351</v>
      </c>
      <c r="L14" s="59">
        <v>0</v>
      </c>
      <c r="M14" s="59" t="s">
        <v>118</v>
      </c>
      <c r="N14" s="59" t="s">
        <v>118</v>
      </c>
      <c r="O14" s="59"/>
      <c r="P14" s="59"/>
      <c r="Q14" s="59"/>
      <c r="S14" s="5" t="s">
        <v>86</v>
      </c>
      <c r="T14" s="5">
        <v>9000</v>
      </c>
      <c r="U14" s="5" t="s">
        <v>45</v>
      </c>
    </row>
    <row r="15" spans="1:46" x14ac:dyDescent="0.25">
      <c r="A15" s="59">
        <v>11</v>
      </c>
      <c r="B15" s="88" t="s">
        <v>291</v>
      </c>
      <c r="C15" s="59">
        <v>3</v>
      </c>
      <c r="D15" s="89" t="s">
        <v>285</v>
      </c>
      <c r="E15" s="59">
        <v>151</v>
      </c>
      <c r="F15" s="59">
        <v>200</v>
      </c>
      <c r="G15" s="59" t="s">
        <v>138</v>
      </c>
      <c r="H15" s="59">
        <v>0</v>
      </c>
      <c r="I15" s="59">
        <v>0</v>
      </c>
      <c r="J15" s="59" t="s">
        <v>350</v>
      </c>
      <c r="K15" s="59" t="s">
        <v>118</v>
      </c>
      <c r="L15" s="59" t="s">
        <v>118</v>
      </c>
      <c r="M15" s="59"/>
      <c r="N15" s="59"/>
      <c r="O15" s="59"/>
      <c r="P15" s="59"/>
      <c r="Q15" s="59"/>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22" x14ac:dyDescent="0.25">
      <c r="A17" s="2">
        <v>13</v>
      </c>
      <c r="B17" s="2"/>
      <c r="C17" s="2"/>
      <c r="D17" s="2"/>
      <c r="E17" s="2"/>
      <c r="F17" s="2"/>
      <c r="G17" s="2"/>
      <c r="H17" s="2"/>
      <c r="I17" s="2"/>
      <c r="J17" s="2"/>
      <c r="K17" s="2"/>
      <c r="L17" s="2"/>
      <c r="M17" s="2"/>
      <c r="N17" s="2"/>
      <c r="O17" s="2"/>
      <c r="P17" s="2"/>
      <c r="Q17" s="2"/>
      <c r="S17" s="5" t="s">
        <v>46</v>
      </c>
      <c r="T17" s="5" t="s">
        <v>82</v>
      </c>
      <c r="U17" s="5" t="s">
        <v>90</v>
      </c>
    </row>
    <row r="18" spans="1:22" x14ac:dyDescent="0.25">
      <c r="A18" s="2">
        <v>14</v>
      </c>
      <c r="B18" s="2"/>
      <c r="C18" s="2"/>
      <c r="D18" s="2"/>
      <c r="E18" s="2"/>
      <c r="F18" s="2"/>
      <c r="G18" s="2"/>
      <c r="H18" s="2"/>
      <c r="I18" s="2"/>
      <c r="J18" s="2"/>
      <c r="K18" s="2"/>
      <c r="L18" s="2"/>
      <c r="M18" s="2"/>
      <c r="N18" s="2"/>
      <c r="O18" s="2"/>
      <c r="P18" s="2"/>
      <c r="Q18" s="2"/>
      <c r="S18" s="5" t="s">
        <v>108</v>
      </c>
      <c r="T18" s="5" t="s">
        <v>153</v>
      </c>
      <c r="U18" s="5"/>
    </row>
    <row r="19" spans="1:22" x14ac:dyDescent="0.25">
      <c r="A19" s="2">
        <v>15</v>
      </c>
      <c r="B19" s="2"/>
      <c r="C19" s="2"/>
      <c r="D19" s="2"/>
      <c r="E19" s="2"/>
      <c r="F19" s="2"/>
      <c r="G19" s="2"/>
      <c r="H19" s="2"/>
      <c r="I19" s="2"/>
      <c r="J19" s="2"/>
      <c r="K19" s="2"/>
      <c r="L19" s="2"/>
      <c r="M19" s="2"/>
      <c r="N19" s="2"/>
      <c r="O19" s="2"/>
      <c r="P19" s="2"/>
      <c r="Q19" s="2"/>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2" spans="1:22"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6" spans="1:46" x14ac:dyDescent="0.25">
      <c r="U36" s="69"/>
    </row>
    <row r="37" spans="1:46" x14ac:dyDescent="0.25">
      <c r="A37" s="33" t="s">
        <v>129</v>
      </c>
      <c r="B37" s="2" t="s">
        <v>371</v>
      </c>
      <c r="C37" s="33" t="s">
        <v>128</v>
      </c>
      <c r="D37" s="2" t="s">
        <v>347</v>
      </c>
      <c r="U37" s="69"/>
      <c r="AO37" t="s">
        <v>130</v>
      </c>
      <c r="AP37" t="s">
        <v>372</v>
      </c>
      <c r="AQ37" t="s">
        <v>129</v>
      </c>
      <c r="AR37" t="s">
        <v>371</v>
      </c>
      <c r="AS37" t="s">
        <v>128</v>
      </c>
      <c r="AT37" t="s">
        <v>347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74"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3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38" t="s">
        <v>18</v>
      </c>
      <c r="D45" s="3" t="s">
        <v>100</v>
      </c>
      <c r="E45" s="3" t="s">
        <v>100</v>
      </c>
      <c r="F45" s="3" t="s">
        <v>100</v>
      </c>
      <c r="G45" s="3" t="s">
        <v>354</v>
      </c>
      <c r="H45" s="3" t="s">
        <v>100</v>
      </c>
      <c r="I45" s="3" t="s">
        <v>100</v>
      </c>
      <c r="J45" s="3" t="s">
        <v>23</v>
      </c>
      <c r="K45" s="3">
        <v>0</v>
      </c>
      <c r="L45" s="3">
        <v>0</v>
      </c>
      <c r="M45" s="3" t="s">
        <v>368</v>
      </c>
      <c r="N45" s="3"/>
      <c r="O45" s="3"/>
      <c r="P45" s="3"/>
      <c r="Q45" s="3" t="s">
        <v>361</v>
      </c>
      <c r="S45" s="46"/>
      <c r="T45" s="46"/>
      <c r="U45" s="7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54"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78"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78"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79"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80" t="s">
        <v>52</v>
      </c>
      <c r="C52" s="80">
        <v>13</v>
      </c>
      <c r="D52" s="80" t="s">
        <v>367</v>
      </c>
      <c r="E52" s="80">
        <v>1</v>
      </c>
      <c r="F52" s="80">
        <f>G51</f>
        <v>9</v>
      </c>
      <c r="G52" s="80" t="s">
        <v>60</v>
      </c>
      <c r="H52" s="80">
        <v>3</v>
      </c>
      <c r="I52" s="80">
        <v>0.5</v>
      </c>
      <c r="J52" s="80"/>
      <c r="K52" s="80"/>
      <c r="L52" s="80"/>
      <c r="M52" s="80"/>
      <c r="N52" s="80"/>
      <c r="O52" s="80"/>
      <c r="P52" s="80"/>
      <c r="Q52" s="80"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375</v>
      </c>
      <c r="C71" s="33" t="s">
        <v>128</v>
      </c>
      <c r="D71" s="2" t="s">
        <v>347</v>
      </c>
      <c r="U71" s="69"/>
      <c r="AO71" t="s">
        <v>130</v>
      </c>
      <c r="AP71" t="s">
        <v>376</v>
      </c>
      <c r="AQ71" t="s">
        <v>129</v>
      </c>
      <c r="AR71" t="s">
        <v>375</v>
      </c>
      <c r="AS71" t="s">
        <v>128</v>
      </c>
      <c r="AT71" t="s">
        <v>347</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74"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77"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S88" s="5" t="s">
        <v>167</v>
      </c>
      <c r="T88" s="5">
        <v>20</v>
      </c>
      <c r="U88" s="5" t="s">
        <v>44</v>
      </c>
    </row>
    <row r="89" spans="1:22" x14ac:dyDescent="0.25">
      <c r="S89" s="5" t="s">
        <v>168</v>
      </c>
      <c r="T89" s="5">
        <v>10</v>
      </c>
      <c r="U89" s="5" t="s">
        <v>44</v>
      </c>
    </row>
    <row r="90" spans="1:22" x14ac:dyDescent="0.25">
      <c r="S90" s="5" t="s">
        <v>169</v>
      </c>
      <c r="T90" s="5">
        <v>0.3</v>
      </c>
      <c r="U90" s="5" t="s">
        <v>44</v>
      </c>
    </row>
    <row r="91" spans="1:22" x14ac:dyDescent="0.25">
      <c r="S91" s="62" t="s">
        <v>339</v>
      </c>
      <c r="T91" s="5">
        <v>0</v>
      </c>
      <c r="U91" s="5"/>
      <c r="V91" s="1"/>
    </row>
    <row r="92" spans="1:22" x14ac:dyDescent="0.25">
      <c r="S92" s="5" t="s">
        <v>154</v>
      </c>
      <c r="T92" s="5" t="s">
        <v>166</v>
      </c>
      <c r="U92" s="5" t="s">
        <v>158</v>
      </c>
    </row>
    <row r="93" spans="1:22" x14ac:dyDescent="0.25">
      <c r="S93" s="5" t="s">
        <v>159</v>
      </c>
      <c r="T93" s="5">
        <v>5</v>
      </c>
      <c r="U93" s="5" t="s">
        <v>44</v>
      </c>
      <c r="V93" s="1"/>
    </row>
    <row r="94" spans="1:22" x14ac:dyDescent="0.25">
      <c r="S94" s="5" t="s">
        <v>160</v>
      </c>
      <c r="T94" s="5">
        <v>7</v>
      </c>
      <c r="U94" s="5" t="s">
        <v>90</v>
      </c>
    </row>
    <row r="95" spans="1:22" x14ac:dyDescent="0.25">
      <c r="S95" s="5" t="s">
        <v>161</v>
      </c>
      <c r="T95" s="5">
        <v>2500</v>
      </c>
      <c r="U95" s="5" t="s">
        <v>45</v>
      </c>
    </row>
    <row r="96" spans="1:22" x14ac:dyDescent="0.25">
      <c r="S96" s="5" t="s">
        <v>162</v>
      </c>
      <c r="T96" s="5">
        <f>-T94</f>
        <v>-7</v>
      </c>
      <c r="U96" s="5" t="s">
        <v>90</v>
      </c>
    </row>
    <row r="97" spans="1:46" x14ac:dyDescent="0.25">
      <c r="S97" s="3" t="s">
        <v>163</v>
      </c>
      <c r="T97" s="3">
        <f>T95</f>
        <v>2500</v>
      </c>
      <c r="U97" s="5" t="s">
        <v>45</v>
      </c>
    </row>
    <row r="98" spans="1:46" x14ac:dyDescent="0.25">
      <c r="S98" s="3" t="s">
        <v>164</v>
      </c>
      <c r="T98" s="3">
        <v>0.2</v>
      </c>
      <c r="U98" s="5" t="s">
        <v>44</v>
      </c>
    </row>
    <row r="99" spans="1:46" x14ac:dyDescent="0.25">
      <c r="S99" s="3" t="s">
        <v>165</v>
      </c>
      <c r="T99" s="3">
        <v>7500</v>
      </c>
      <c r="U99" s="5" t="s">
        <v>45</v>
      </c>
    </row>
    <row r="100" spans="1:46" x14ac:dyDescent="0.25">
      <c r="U100" s="69"/>
    </row>
    <row r="101" spans="1:46" x14ac:dyDescent="0.25">
      <c r="S101" s="75" t="s">
        <v>292</v>
      </c>
      <c r="T101" s="75" t="s">
        <v>293</v>
      </c>
      <c r="U101" s="76" t="s">
        <v>331</v>
      </c>
    </row>
    <row r="102" spans="1:46" x14ac:dyDescent="0.25">
      <c r="S102" s="59"/>
      <c r="T102" s="59"/>
      <c r="U102" s="71" t="s">
        <v>109</v>
      </c>
    </row>
    <row r="103" spans="1:46" x14ac:dyDescent="0.25">
      <c r="S103" s="59"/>
      <c r="T103" s="59"/>
      <c r="U103" s="71" t="s">
        <v>109</v>
      </c>
    </row>
    <row r="105" spans="1:46" x14ac:dyDescent="0.25">
      <c r="A105" s="33" t="s">
        <v>129</v>
      </c>
      <c r="B105" s="2" t="s">
        <v>391</v>
      </c>
      <c r="C105" s="33" t="s">
        <v>128</v>
      </c>
      <c r="D105" s="2" t="s">
        <v>347</v>
      </c>
      <c r="U105" s="69"/>
      <c r="AO105" t="s">
        <v>130</v>
      </c>
      <c r="AP105" t="s">
        <v>392</v>
      </c>
      <c r="AQ105" t="s">
        <v>129</v>
      </c>
      <c r="AR105" t="s">
        <v>391</v>
      </c>
      <c r="AS105" t="s">
        <v>128</v>
      </c>
      <c r="AT105" t="s">
        <v>347</v>
      </c>
    </row>
    <row r="106" spans="1:46" x14ac:dyDescent="0.25">
      <c r="A106" s="32" t="s">
        <v>0</v>
      </c>
      <c r="B106" s="33"/>
      <c r="C106" s="18"/>
      <c r="D106" s="18"/>
      <c r="E106" s="18"/>
      <c r="F106" s="18"/>
      <c r="G106" s="18"/>
      <c r="H106" s="18"/>
      <c r="I106" s="18"/>
      <c r="J106" s="18"/>
      <c r="K106" s="18"/>
      <c r="L106" s="18"/>
      <c r="M106" s="18"/>
      <c r="N106" s="18"/>
      <c r="O106" s="18"/>
      <c r="P106" s="18"/>
      <c r="Q106" s="33" t="s">
        <v>289</v>
      </c>
      <c r="U106" s="69"/>
    </row>
    <row r="107" spans="1:46" x14ac:dyDescent="0.25">
      <c r="A107" s="2">
        <v>1</v>
      </c>
      <c r="B107" s="91" t="s">
        <v>1</v>
      </c>
      <c r="C107" s="2" t="s">
        <v>18</v>
      </c>
      <c r="D107" s="2">
        <v>50</v>
      </c>
      <c r="E107" s="2">
        <v>50</v>
      </c>
      <c r="F107" s="2">
        <v>0</v>
      </c>
      <c r="G107" s="2" t="s">
        <v>355</v>
      </c>
      <c r="H107" s="2" t="s">
        <v>100</v>
      </c>
      <c r="I107" s="2" t="s">
        <v>100</v>
      </c>
      <c r="J107" s="2" t="s">
        <v>19</v>
      </c>
      <c r="K107" s="2">
        <v>0.5</v>
      </c>
      <c r="L107" s="2">
        <v>0.2</v>
      </c>
      <c r="M107" s="2"/>
      <c r="N107" s="2"/>
      <c r="O107" s="2"/>
      <c r="P107" s="2"/>
      <c r="Q107" s="2"/>
      <c r="S107" s="74" t="s">
        <v>40</v>
      </c>
      <c r="T107" s="3"/>
      <c r="U107" s="5"/>
    </row>
    <row r="108" spans="1:46" x14ac:dyDescent="0.25">
      <c r="A108" s="2">
        <v>2</v>
      </c>
      <c r="B108" s="91" t="s">
        <v>1</v>
      </c>
      <c r="C108" s="2" t="s">
        <v>18</v>
      </c>
      <c r="D108" s="2" t="s">
        <v>100</v>
      </c>
      <c r="E108" s="2" t="s">
        <v>100</v>
      </c>
      <c r="F108" s="2" t="s">
        <v>100</v>
      </c>
      <c r="G108" s="2" t="s">
        <v>100</v>
      </c>
      <c r="H108" s="2" t="s">
        <v>355</v>
      </c>
      <c r="I108" s="2" t="s">
        <v>100</v>
      </c>
      <c r="J108" s="2" t="s">
        <v>19</v>
      </c>
      <c r="K108" s="2">
        <v>0.5</v>
      </c>
      <c r="L108" s="2">
        <v>0.2</v>
      </c>
      <c r="M108" s="2"/>
      <c r="N108" s="2"/>
      <c r="O108" s="2"/>
      <c r="P108" s="2"/>
      <c r="Q108" s="2"/>
      <c r="S108" s="5" t="s">
        <v>98</v>
      </c>
      <c r="T108" s="5">
        <v>0.2</v>
      </c>
      <c r="U108" s="5" t="s">
        <v>44</v>
      </c>
    </row>
    <row r="109" spans="1:46" x14ac:dyDescent="0.25">
      <c r="A109" s="2">
        <v>3</v>
      </c>
      <c r="B109" s="91" t="s">
        <v>1</v>
      </c>
      <c r="C109" s="2" t="s">
        <v>18</v>
      </c>
      <c r="D109" s="2" t="s">
        <v>100</v>
      </c>
      <c r="E109" s="2" t="s">
        <v>100</v>
      </c>
      <c r="F109" s="2" t="s">
        <v>100</v>
      </c>
      <c r="G109" s="2" t="s">
        <v>362</v>
      </c>
      <c r="H109" s="2" t="s">
        <v>100</v>
      </c>
      <c r="I109" s="2" t="s">
        <v>100</v>
      </c>
      <c r="J109" s="2" t="s">
        <v>19</v>
      </c>
      <c r="K109" s="2">
        <v>0.5</v>
      </c>
      <c r="L109" s="2">
        <v>0.2</v>
      </c>
      <c r="M109" s="2"/>
      <c r="N109" s="2"/>
      <c r="O109" s="2"/>
      <c r="P109" s="2"/>
      <c r="Q109" s="2"/>
      <c r="S109" s="5" t="s">
        <v>87</v>
      </c>
      <c r="T109" s="5">
        <v>1</v>
      </c>
      <c r="U109" s="5" t="s">
        <v>89</v>
      </c>
    </row>
    <row r="110" spans="1:46" x14ac:dyDescent="0.25">
      <c r="A110" s="2">
        <v>4</v>
      </c>
      <c r="B110" s="91" t="s">
        <v>1</v>
      </c>
      <c r="C110" s="2" t="s">
        <v>18</v>
      </c>
      <c r="D110" s="2" t="s">
        <v>100</v>
      </c>
      <c r="E110" s="2" t="s">
        <v>100</v>
      </c>
      <c r="F110" s="2" t="s">
        <v>100</v>
      </c>
      <c r="G110" s="2" t="s">
        <v>100</v>
      </c>
      <c r="H110" s="2" t="s">
        <v>362</v>
      </c>
      <c r="I110" s="2" t="s">
        <v>100</v>
      </c>
      <c r="J110" s="2" t="s">
        <v>19</v>
      </c>
      <c r="K110" s="2">
        <v>0.5</v>
      </c>
      <c r="L110" s="2">
        <v>0.2</v>
      </c>
      <c r="M110" s="2"/>
      <c r="N110" s="2"/>
      <c r="O110" s="2"/>
      <c r="P110" s="2"/>
      <c r="Q110" s="2"/>
      <c r="S110" s="5" t="s">
        <v>88</v>
      </c>
      <c r="T110" s="5">
        <v>1</v>
      </c>
      <c r="U110" s="5" t="s">
        <v>89</v>
      </c>
    </row>
    <row r="111" spans="1:46" x14ac:dyDescent="0.25">
      <c r="A111" s="2">
        <v>5</v>
      </c>
      <c r="B111" s="91" t="s">
        <v>55</v>
      </c>
      <c r="C111" s="77" t="s">
        <v>270</v>
      </c>
      <c r="D111" s="2">
        <v>0</v>
      </c>
      <c r="E111" s="2">
        <v>0</v>
      </c>
      <c r="F111" s="2">
        <v>0.2</v>
      </c>
      <c r="G111" s="2">
        <v>100</v>
      </c>
      <c r="H111" s="2"/>
      <c r="I111" s="2"/>
      <c r="J111" s="2"/>
      <c r="K111" s="2"/>
      <c r="L111" s="2"/>
      <c r="M111" s="2"/>
      <c r="N111" s="2"/>
      <c r="O111" s="2"/>
      <c r="P111" s="2"/>
      <c r="Q111" s="2"/>
      <c r="S111" s="5" t="s">
        <v>193</v>
      </c>
      <c r="T111" s="5" t="s">
        <v>204</v>
      </c>
      <c r="U111" s="5"/>
    </row>
    <row r="112" spans="1:46" x14ac:dyDescent="0.25">
      <c r="A112" s="2">
        <v>6</v>
      </c>
      <c r="B112" s="92" t="s">
        <v>52</v>
      </c>
      <c r="C112" s="10">
        <v>5</v>
      </c>
      <c r="D112" s="83">
        <v>2</v>
      </c>
      <c r="E112" s="10">
        <v>50</v>
      </c>
      <c r="F112" s="10">
        <v>100</v>
      </c>
      <c r="G112" s="10" t="s">
        <v>28</v>
      </c>
      <c r="H112" s="10">
        <v>0.2</v>
      </c>
      <c r="I112" s="10">
        <v>0</v>
      </c>
      <c r="J112" s="10">
        <v>0</v>
      </c>
      <c r="K112" s="10" t="s">
        <v>118</v>
      </c>
      <c r="L112" s="10" t="s">
        <v>118</v>
      </c>
      <c r="M112" s="10"/>
      <c r="N112" s="10"/>
      <c r="O112" s="10"/>
      <c r="P112" s="10"/>
      <c r="Q112" s="10"/>
      <c r="S112" s="5" t="s">
        <v>194</v>
      </c>
      <c r="T112" s="5">
        <v>0</v>
      </c>
      <c r="U112" s="5"/>
    </row>
    <row r="113" spans="1:22" x14ac:dyDescent="0.25">
      <c r="A113" s="2">
        <v>7</v>
      </c>
      <c r="B113" s="92" t="s">
        <v>52</v>
      </c>
      <c r="C113" s="10">
        <v>5</v>
      </c>
      <c r="D113" s="83">
        <v>1</v>
      </c>
      <c r="E113" s="10">
        <v>50</v>
      </c>
      <c r="F113" s="10">
        <v>100</v>
      </c>
      <c r="G113" s="10" t="s">
        <v>28</v>
      </c>
      <c r="H113" s="10">
        <v>0.2</v>
      </c>
      <c r="I113" s="10">
        <v>0</v>
      </c>
      <c r="J113" s="10">
        <v>0</v>
      </c>
      <c r="K113" s="10" t="s">
        <v>390</v>
      </c>
      <c r="L113" s="10" t="s">
        <v>118</v>
      </c>
      <c r="M113" s="10"/>
      <c r="N113" s="10"/>
      <c r="O113" s="10"/>
      <c r="P113" s="10"/>
      <c r="Q113" s="10"/>
      <c r="S113" s="46"/>
      <c r="T113" s="46"/>
      <c r="U113" s="70"/>
    </row>
    <row r="114" spans="1:22" x14ac:dyDescent="0.25">
      <c r="A114" s="2">
        <v>8</v>
      </c>
      <c r="B114" s="92" t="s">
        <v>52</v>
      </c>
      <c r="C114" s="10">
        <v>5</v>
      </c>
      <c r="D114" s="83">
        <v>3</v>
      </c>
      <c r="E114" s="10">
        <v>50</v>
      </c>
      <c r="F114" s="10">
        <v>100</v>
      </c>
      <c r="G114" s="10" t="s">
        <v>28</v>
      </c>
      <c r="H114" s="10">
        <v>0.2</v>
      </c>
      <c r="I114" s="10">
        <v>0</v>
      </c>
      <c r="J114" s="10">
        <v>0</v>
      </c>
      <c r="K114" s="10" t="s">
        <v>118</v>
      </c>
      <c r="L114" s="10" t="s">
        <v>390</v>
      </c>
      <c r="M114" s="10"/>
      <c r="N114" s="10"/>
      <c r="O114" s="10"/>
      <c r="P114" s="10"/>
      <c r="Q114" s="10"/>
      <c r="S114" s="5" t="s">
        <v>338</v>
      </c>
      <c r="T114" s="5">
        <v>60</v>
      </c>
      <c r="U114" s="5" t="s">
        <v>43</v>
      </c>
      <c r="V114" s="1"/>
    </row>
    <row r="115" spans="1:22" x14ac:dyDescent="0.25">
      <c r="A115" s="2">
        <v>9</v>
      </c>
      <c r="B115" s="81" t="s">
        <v>291</v>
      </c>
      <c r="C115" s="3">
        <v>5</v>
      </c>
      <c r="D115" s="82">
        <v>2</v>
      </c>
      <c r="E115" s="3">
        <v>50</v>
      </c>
      <c r="F115" s="3">
        <v>100</v>
      </c>
      <c r="G115" s="3" t="s">
        <v>124</v>
      </c>
      <c r="H115" s="3">
        <v>5.0000000000000001E-3</v>
      </c>
      <c r="I115" s="3">
        <v>0</v>
      </c>
      <c r="J115" s="3">
        <v>0</v>
      </c>
      <c r="K115" s="3" t="s">
        <v>118</v>
      </c>
      <c r="L115" s="3" t="s">
        <v>118</v>
      </c>
      <c r="M115" s="3"/>
      <c r="N115" s="3"/>
      <c r="O115" s="3"/>
      <c r="P115" s="3"/>
      <c r="Q115" s="3"/>
      <c r="S115" s="5" t="s">
        <v>85</v>
      </c>
      <c r="T115" s="5">
        <v>1000</v>
      </c>
      <c r="U115" s="5" t="s">
        <v>45</v>
      </c>
    </row>
    <row r="116" spans="1:22" x14ac:dyDescent="0.25">
      <c r="A116" s="2">
        <v>10</v>
      </c>
      <c r="B116" s="81" t="s">
        <v>291</v>
      </c>
      <c r="C116" s="3">
        <v>5</v>
      </c>
      <c r="D116" s="82">
        <v>1</v>
      </c>
      <c r="E116" s="3">
        <v>50</v>
      </c>
      <c r="F116" s="3">
        <v>100</v>
      </c>
      <c r="G116" s="3" t="s">
        <v>124</v>
      </c>
      <c r="H116" s="3">
        <v>5.0000000000000001E-3</v>
      </c>
      <c r="I116" s="3">
        <v>0</v>
      </c>
      <c r="J116" s="3">
        <v>0</v>
      </c>
      <c r="K116" s="3" t="s">
        <v>390</v>
      </c>
      <c r="L116" s="3" t="s">
        <v>118</v>
      </c>
      <c r="M116" s="3"/>
      <c r="N116" s="3"/>
      <c r="O116" s="3"/>
      <c r="P116" s="3"/>
      <c r="Q116" s="3"/>
      <c r="S116" s="5" t="s">
        <v>86</v>
      </c>
      <c r="T116" s="5">
        <v>9000</v>
      </c>
      <c r="U116" s="5" t="s">
        <v>45</v>
      </c>
    </row>
    <row r="117" spans="1:22" x14ac:dyDescent="0.25">
      <c r="A117" s="2">
        <v>11</v>
      </c>
      <c r="B117" s="81" t="s">
        <v>291</v>
      </c>
      <c r="C117" s="3">
        <v>5</v>
      </c>
      <c r="D117" s="82">
        <v>3</v>
      </c>
      <c r="E117" s="3">
        <v>50</v>
      </c>
      <c r="F117" s="3">
        <v>100</v>
      </c>
      <c r="G117" s="3" t="s">
        <v>124</v>
      </c>
      <c r="H117" s="3">
        <v>5.0000000000000001E-3</v>
      </c>
      <c r="I117" s="3">
        <v>0</v>
      </c>
      <c r="J117" s="3">
        <v>0</v>
      </c>
      <c r="K117" s="3" t="s">
        <v>118</v>
      </c>
      <c r="L117" s="3" t="s">
        <v>390</v>
      </c>
      <c r="M117" s="3"/>
      <c r="N117" s="3"/>
      <c r="O117" s="3"/>
      <c r="P117" s="3"/>
      <c r="Q117" s="3"/>
      <c r="S117" s="5" t="s">
        <v>41</v>
      </c>
      <c r="T117" s="5">
        <v>210</v>
      </c>
      <c r="U117" s="5" t="s">
        <v>43</v>
      </c>
      <c r="V117" s="1"/>
    </row>
    <row r="118" spans="1:22" x14ac:dyDescent="0.25">
      <c r="A118" s="2">
        <v>12</v>
      </c>
      <c r="B118" s="84" t="s">
        <v>291</v>
      </c>
      <c r="C118" s="14">
        <v>5</v>
      </c>
      <c r="D118" s="93" t="s">
        <v>270</v>
      </c>
      <c r="E118" s="14">
        <v>50</v>
      </c>
      <c r="F118" s="14">
        <v>100</v>
      </c>
      <c r="G118" s="14" t="s">
        <v>25</v>
      </c>
      <c r="H118" s="14">
        <v>60</v>
      </c>
      <c r="I118" s="14">
        <v>60</v>
      </c>
      <c r="J118" s="14">
        <v>45</v>
      </c>
      <c r="K118" s="14">
        <v>0</v>
      </c>
      <c r="L118" s="14" t="s">
        <v>118</v>
      </c>
      <c r="M118" s="14" t="s">
        <v>118</v>
      </c>
      <c r="N118" s="14"/>
      <c r="O118" s="14"/>
      <c r="P118" s="14"/>
      <c r="Q118" s="14"/>
      <c r="S118" s="5" t="s">
        <v>42</v>
      </c>
      <c r="T118" s="5">
        <v>2.85</v>
      </c>
      <c r="U118" s="5" t="s">
        <v>44</v>
      </c>
    </row>
    <row r="119" spans="1:22" x14ac:dyDescent="0.25">
      <c r="A119" s="2">
        <v>13</v>
      </c>
      <c r="B119" s="84" t="s">
        <v>291</v>
      </c>
      <c r="C119" s="14">
        <v>5</v>
      </c>
      <c r="D119" s="93" t="s">
        <v>270</v>
      </c>
      <c r="E119" s="14">
        <v>50</v>
      </c>
      <c r="F119" s="14">
        <v>100</v>
      </c>
      <c r="G119" s="14" t="s">
        <v>26</v>
      </c>
      <c r="H119" s="14">
        <v>50</v>
      </c>
      <c r="I119" s="14">
        <v>50</v>
      </c>
      <c r="J119" s="14">
        <v>0</v>
      </c>
      <c r="K119" s="14">
        <v>0.2</v>
      </c>
      <c r="L119" s="14" t="s">
        <v>118</v>
      </c>
      <c r="M119" s="14" t="s">
        <v>118</v>
      </c>
      <c r="N119" s="14"/>
      <c r="O119" s="14"/>
      <c r="P119" s="14"/>
      <c r="Q119" s="14"/>
      <c r="S119" s="5" t="s">
        <v>46</v>
      </c>
      <c r="T119" s="5" t="s">
        <v>82</v>
      </c>
      <c r="U119" s="5" t="s">
        <v>90</v>
      </c>
    </row>
    <row r="120" spans="1:22" x14ac:dyDescent="0.25">
      <c r="A120" s="2">
        <v>14</v>
      </c>
      <c r="B120" s="84" t="s">
        <v>291</v>
      </c>
      <c r="C120" s="14">
        <v>5</v>
      </c>
      <c r="D120" s="93" t="s">
        <v>270</v>
      </c>
      <c r="E120" s="14">
        <v>50</v>
      </c>
      <c r="F120" s="14">
        <v>100</v>
      </c>
      <c r="G120" s="14" t="s">
        <v>15</v>
      </c>
      <c r="H120" s="14">
        <v>1</v>
      </c>
      <c r="I120" s="14"/>
      <c r="J120" s="14" t="s">
        <v>184</v>
      </c>
      <c r="K120" s="14"/>
      <c r="L120" s="14"/>
      <c r="M120" s="14"/>
      <c r="N120" s="14"/>
      <c r="O120" s="14"/>
      <c r="P120" s="14"/>
      <c r="Q120" s="14"/>
      <c r="S120" s="5" t="s">
        <v>108</v>
      </c>
      <c r="T120" s="5" t="s">
        <v>153</v>
      </c>
      <c r="U120" s="5"/>
    </row>
    <row r="121" spans="1:22" x14ac:dyDescent="0.25">
      <c r="A121" s="2">
        <v>15</v>
      </c>
      <c r="B121" s="84" t="s">
        <v>291</v>
      </c>
      <c r="C121" s="14">
        <v>5</v>
      </c>
      <c r="D121" s="93" t="s">
        <v>270</v>
      </c>
      <c r="E121" s="14">
        <v>50</v>
      </c>
      <c r="F121" s="14">
        <v>100</v>
      </c>
      <c r="G121" s="14" t="s">
        <v>24</v>
      </c>
      <c r="H121" s="14">
        <v>0.01</v>
      </c>
      <c r="I121" s="14"/>
      <c r="J121" s="14" t="s">
        <v>185</v>
      </c>
      <c r="K121" s="14"/>
      <c r="L121" s="14"/>
      <c r="M121" s="14"/>
      <c r="N121" s="14"/>
      <c r="O121" s="14"/>
      <c r="P121" s="14"/>
      <c r="Q121" s="14"/>
      <c r="S121" s="5" t="s">
        <v>152</v>
      </c>
      <c r="T121" s="5" t="s">
        <v>125</v>
      </c>
      <c r="U121" s="5"/>
    </row>
    <row r="122" spans="1:22" x14ac:dyDescent="0.25">
      <c r="A122" s="2">
        <v>16</v>
      </c>
      <c r="B122" s="84" t="s">
        <v>291</v>
      </c>
      <c r="C122" s="14">
        <v>5</v>
      </c>
      <c r="D122" s="93" t="s">
        <v>270</v>
      </c>
      <c r="E122" s="14">
        <v>50</v>
      </c>
      <c r="F122" s="14">
        <v>100</v>
      </c>
      <c r="G122" s="14" t="s">
        <v>133</v>
      </c>
      <c r="H122" s="14" t="s">
        <v>27</v>
      </c>
      <c r="I122" s="14"/>
      <c r="J122" s="14" t="s">
        <v>188</v>
      </c>
      <c r="K122" s="14"/>
      <c r="L122" s="14"/>
      <c r="M122" s="14"/>
      <c r="N122" s="14"/>
      <c r="O122" s="14"/>
      <c r="P122" s="14"/>
      <c r="Q122" s="14"/>
      <c r="S122" s="5" t="s">
        <v>167</v>
      </c>
      <c r="T122" s="5">
        <v>20</v>
      </c>
      <c r="U122" s="5" t="s">
        <v>44</v>
      </c>
    </row>
    <row r="123" spans="1:22" x14ac:dyDescent="0.25">
      <c r="A123" s="2">
        <v>17</v>
      </c>
      <c r="B123" s="84" t="s">
        <v>291</v>
      </c>
      <c r="C123" s="14">
        <v>5</v>
      </c>
      <c r="D123" s="93" t="s">
        <v>270</v>
      </c>
      <c r="E123" s="14">
        <v>50</v>
      </c>
      <c r="F123" s="14">
        <v>100</v>
      </c>
      <c r="G123" s="14" t="s">
        <v>132</v>
      </c>
      <c r="H123" s="14">
        <v>10</v>
      </c>
      <c r="I123" s="14"/>
      <c r="J123" s="14" t="s">
        <v>189</v>
      </c>
      <c r="K123" s="14"/>
      <c r="L123" s="14"/>
      <c r="M123" s="14"/>
      <c r="N123" s="14"/>
      <c r="O123" s="14"/>
      <c r="P123" s="14"/>
      <c r="Q123" s="14"/>
      <c r="S123" s="5" t="s">
        <v>168</v>
      </c>
      <c r="T123" s="5">
        <v>10</v>
      </c>
      <c r="U123" s="5" t="s">
        <v>44</v>
      </c>
    </row>
    <row r="124" spans="1:22" x14ac:dyDescent="0.25">
      <c r="A124" s="2">
        <v>18</v>
      </c>
      <c r="B124" s="2"/>
      <c r="C124" s="2"/>
      <c r="D124" s="2"/>
      <c r="E124" s="2"/>
      <c r="F124" s="2"/>
      <c r="G124" s="2"/>
      <c r="H124" s="2"/>
      <c r="I124" s="2"/>
      <c r="J124" s="2"/>
      <c r="K124" s="2"/>
      <c r="L124" s="2"/>
      <c r="M124" s="2"/>
      <c r="N124" s="2"/>
      <c r="O124" s="2"/>
      <c r="P124" s="2"/>
      <c r="Q124" s="2"/>
      <c r="S124" s="5" t="s">
        <v>169</v>
      </c>
      <c r="T124" s="5">
        <v>0.3</v>
      </c>
      <c r="U124" s="5" t="s">
        <v>44</v>
      </c>
    </row>
    <row r="125" spans="1:22" x14ac:dyDescent="0.25">
      <c r="A125" s="2">
        <v>19</v>
      </c>
      <c r="B125" s="2"/>
      <c r="C125" s="2"/>
      <c r="D125" s="2"/>
      <c r="E125" s="2"/>
      <c r="F125" s="2"/>
      <c r="G125" s="2"/>
      <c r="H125" s="2"/>
      <c r="I125" s="2"/>
      <c r="J125" s="2"/>
      <c r="K125" s="2"/>
      <c r="L125" s="2"/>
      <c r="M125" s="2"/>
      <c r="N125" s="2"/>
      <c r="O125" s="2"/>
      <c r="P125" s="2"/>
      <c r="Q125" s="2"/>
      <c r="S125" s="62" t="s">
        <v>339</v>
      </c>
      <c r="T125" s="5">
        <v>0</v>
      </c>
      <c r="U125" s="5"/>
      <c r="V125" s="1"/>
    </row>
    <row r="126" spans="1:22" x14ac:dyDescent="0.25">
      <c r="S126" s="5" t="s">
        <v>154</v>
      </c>
      <c r="T126" s="5" t="s">
        <v>166</v>
      </c>
      <c r="U126" s="5" t="s">
        <v>158</v>
      </c>
    </row>
    <row r="127" spans="1:22" x14ac:dyDescent="0.25">
      <c r="S127" s="5" t="s">
        <v>159</v>
      </c>
      <c r="T127" s="5">
        <v>5</v>
      </c>
      <c r="U127" s="5" t="s">
        <v>44</v>
      </c>
      <c r="V127" s="1"/>
    </row>
    <row r="128" spans="1:22" x14ac:dyDescent="0.25">
      <c r="S128" s="5" t="s">
        <v>160</v>
      </c>
      <c r="T128" s="5">
        <v>7</v>
      </c>
      <c r="U128" s="5" t="s">
        <v>90</v>
      </c>
    </row>
    <row r="129" spans="2:21" x14ac:dyDescent="0.25">
      <c r="S129" s="5" t="s">
        <v>161</v>
      </c>
      <c r="T129" s="5">
        <v>2500</v>
      </c>
      <c r="U129" s="5" t="s">
        <v>45</v>
      </c>
    </row>
    <row r="130" spans="2:21" x14ac:dyDescent="0.25">
      <c r="S130" s="5" t="s">
        <v>162</v>
      </c>
      <c r="T130" s="5">
        <f>-T128</f>
        <v>-7</v>
      </c>
      <c r="U130" s="5" t="s">
        <v>90</v>
      </c>
    </row>
    <row r="131" spans="2:21" x14ac:dyDescent="0.25">
      <c r="S131" s="3" t="s">
        <v>163</v>
      </c>
      <c r="T131" s="3">
        <f>T129</f>
        <v>2500</v>
      </c>
      <c r="U131" s="5" t="s">
        <v>45</v>
      </c>
    </row>
    <row r="132" spans="2:21" x14ac:dyDescent="0.25">
      <c r="B132" s="64"/>
      <c r="C132" s="64"/>
      <c r="D132" s="64"/>
      <c r="E132" s="64"/>
      <c r="F132" s="64"/>
      <c r="G132" s="64"/>
      <c r="H132" s="64"/>
      <c r="I132" s="64"/>
      <c r="J132" s="64"/>
      <c r="K132" s="64"/>
      <c r="L132" s="64"/>
      <c r="M132" s="64"/>
      <c r="N132" s="64"/>
      <c r="O132" s="64"/>
      <c r="P132" s="64"/>
      <c r="Q132" s="64"/>
      <c r="S132" s="3" t="s">
        <v>164</v>
      </c>
      <c r="T132" s="3">
        <v>0.2</v>
      </c>
      <c r="U132" s="5" t="s">
        <v>44</v>
      </c>
    </row>
    <row r="133" spans="2:21" x14ac:dyDescent="0.25">
      <c r="B133" s="64"/>
      <c r="C133" s="64"/>
      <c r="D133" s="64"/>
      <c r="E133" s="64"/>
      <c r="F133" s="64"/>
      <c r="G133" s="64"/>
      <c r="H133" s="64"/>
      <c r="I133" s="64"/>
      <c r="J133" s="64"/>
      <c r="K133" s="64"/>
      <c r="L133" s="64"/>
      <c r="M133" s="64"/>
      <c r="N133" s="64"/>
      <c r="O133" s="64"/>
      <c r="P133" s="64"/>
      <c r="Q133" s="64"/>
      <c r="S133" s="3" t="s">
        <v>165</v>
      </c>
      <c r="T133" s="3">
        <v>7500</v>
      </c>
      <c r="U133" s="5" t="s">
        <v>45</v>
      </c>
    </row>
    <row r="134" spans="2:21" x14ac:dyDescent="0.25">
      <c r="B134" s="64"/>
      <c r="C134" s="64"/>
      <c r="D134" s="64"/>
      <c r="E134" s="64"/>
      <c r="F134" s="64"/>
      <c r="G134" s="64"/>
      <c r="H134" s="64"/>
      <c r="I134" s="64"/>
      <c r="J134" s="64"/>
      <c r="K134" s="64"/>
      <c r="L134" s="64"/>
      <c r="M134" s="64"/>
      <c r="N134" s="64"/>
      <c r="O134" s="64"/>
      <c r="P134" s="64"/>
      <c r="Q134" s="64"/>
      <c r="U134" s="69"/>
    </row>
    <row r="135" spans="2:21" x14ac:dyDescent="0.25">
      <c r="B135" s="64"/>
      <c r="C135" s="64"/>
      <c r="D135" s="64"/>
      <c r="E135" s="64"/>
      <c r="F135" s="64"/>
      <c r="G135" s="64"/>
      <c r="H135" s="64"/>
      <c r="I135" s="64"/>
      <c r="J135" s="64"/>
      <c r="K135" s="64"/>
      <c r="L135" s="64"/>
      <c r="M135" s="64"/>
      <c r="N135" s="64"/>
      <c r="O135" s="64"/>
      <c r="P135" s="64"/>
      <c r="Q135" s="64"/>
      <c r="S135" s="75" t="s">
        <v>292</v>
      </c>
      <c r="T135" s="75" t="s">
        <v>293</v>
      </c>
      <c r="U135" s="76" t="s">
        <v>331</v>
      </c>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69"/>
  </cols>
  <sheetData>
    <row r="3" spans="1:46" x14ac:dyDescent="0.25">
      <c r="A3" s="33" t="s">
        <v>129</v>
      </c>
      <c r="B3" s="2" t="s">
        <v>287</v>
      </c>
      <c r="C3" s="33" t="s">
        <v>128</v>
      </c>
      <c r="D3" s="2" t="s">
        <v>334</v>
      </c>
      <c r="AO3" t="s">
        <v>130</v>
      </c>
      <c r="AP3" t="s">
        <v>288</v>
      </c>
      <c r="AQ3" t="s">
        <v>129</v>
      </c>
      <c r="AR3" t="s">
        <v>287</v>
      </c>
      <c r="AS3" t="s">
        <v>128</v>
      </c>
      <c r="AT3" t="s">
        <v>334</v>
      </c>
    </row>
    <row r="4" spans="1:46" x14ac:dyDescent="0.25">
      <c r="A4" s="32" t="s">
        <v>0</v>
      </c>
      <c r="B4" s="2"/>
      <c r="C4" s="2"/>
      <c r="D4" s="2"/>
      <c r="E4" s="2"/>
      <c r="F4" s="2"/>
      <c r="G4" s="2"/>
      <c r="H4" s="2"/>
      <c r="I4" s="2"/>
      <c r="J4" s="2"/>
      <c r="K4" s="2"/>
      <c r="L4" s="2"/>
      <c r="M4" s="2"/>
      <c r="N4" s="2"/>
      <c r="O4" s="2"/>
      <c r="P4" s="2"/>
      <c r="Q4" s="33" t="s">
        <v>289</v>
      </c>
    </row>
    <row r="5" spans="1:46" x14ac:dyDescent="0.25">
      <c r="A5" s="2">
        <v>1</v>
      </c>
      <c r="B5" s="10" t="s">
        <v>10</v>
      </c>
      <c r="C5" s="10" t="e">
        <f>_xlfn.SINGLE(StartX)-F5*COS(RADIANS(T49))</f>
        <v>#NAME?</v>
      </c>
      <c r="D5" s="10" t="e">
        <f>_xlfn.SINGLE(StartY)+T48</f>
        <v>#NAME?</v>
      </c>
      <c r="E5" s="10">
        <v>0</v>
      </c>
      <c r="F5" s="57" t="e">
        <f>T48/SIN(RADIANS(T49))</f>
        <v>#NAME?</v>
      </c>
      <c r="G5" s="10" t="e">
        <f>-T49</f>
        <v>#NAME?</v>
      </c>
      <c r="H5" s="10">
        <f>T43</f>
        <v>90</v>
      </c>
      <c r="I5" s="10" t="s">
        <v>38</v>
      </c>
      <c r="J5" s="10">
        <v>16</v>
      </c>
      <c r="K5" s="10">
        <f t="shared" ref="K5:K6" si="0">_xlfn.SINGLE(Width)</f>
        <v>32</v>
      </c>
      <c r="L5" s="10">
        <f>_xlfn.SINGLE(Height)</f>
        <v>5.4</v>
      </c>
      <c r="M5" s="10"/>
      <c r="N5" s="10"/>
      <c r="O5" s="10"/>
      <c r="P5" s="10"/>
      <c r="Q5" s="11" t="s">
        <v>277</v>
      </c>
      <c r="S5" s="74" t="s">
        <v>40</v>
      </c>
      <c r="T5" s="3"/>
      <c r="U5" s="5"/>
    </row>
    <row r="6" spans="1:46" x14ac:dyDescent="0.25">
      <c r="A6" s="2">
        <v>2</v>
      </c>
      <c r="B6" s="12" t="s">
        <v>10</v>
      </c>
      <c r="C6" s="12" t="e">
        <f>_xlfn.SINGLE(StartX)+F6*COS(RADIANS(T49))</f>
        <v>#NAME?</v>
      </c>
      <c r="D6" s="12" t="e">
        <f>_xlfn.SINGLE(StartY)+T47+T48</f>
        <v>#NAME?</v>
      </c>
      <c r="E6" s="12">
        <v>0</v>
      </c>
      <c r="F6" s="58" t="e">
        <f>T48/SIN(RADIANS(T49))</f>
        <v>#NAME?</v>
      </c>
      <c r="G6" s="12" t="e">
        <f>180+T49</f>
        <v>#NAME?</v>
      </c>
      <c r="H6" s="12">
        <f>T43</f>
        <v>90</v>
      </c>
      <c r="I6" s="12" t="s">
        <v>20</v>
      </c>
      <c r="J6" s="12">
        <v>16</v>
      </c>
      <c r="K6" s="12">
        <f t="shared" si="0"/>
        <v>32</v>
      </c>
      <c r="L6" s="12">
        <f>_xlfn.SINGLE(Height)</f>
        <v>5.4</v>
      </c>
      <c r="M6" s="12"/>
      <c r="N6" s="12"/>
      <c r="O6" s="12"/>
      <c r="P6" s="12"/>
      <c r="Q6" s="13" t="s">
        <v>278</v>
      </c>
      <c r="S6" s="5" t="s">
        <v>98</v>
      </c>
      <c r="T6" s="5">
        <v>0.2</v>
      </c>
      <c r="U6" s="5" t="s">
        <v>44</v>
      </c>
    </row>
    <row r="7" spans="1:46" x14ac:dyDescent="0.25">
      <c r="A7" s="2">
        <v>3</v>
      </c>
      <c r="B7" s="39" t="s">
        <v>55</v>
      </c>
      <c r="C7" s="40" t="s">
        <v>285</v>
      </c>
      <c r="D7" s="39">
        <v>0</v>
      </c>
      <c r="E7" s="39" t="e">
        <f>Period</f>
        <v>#NAME?</v>
      </c>
      <c r="F7" s="39">
        <v>0</v>
      </c>
      <c r="G7" s="39" t="e">
        <f>UnitCells-1</f>
        <v>#NAME?</v>
      </c>
      <c r="H7" s="39"/>
      <c r="I7" s="39"/>
      <c r="J7" s="39"/>
      <c r="K7" s="39"/>
      <c r="L7" s="39"/>
      <c r="M7" s="39"/>
      <c r="N7" s="39"/>
      <c r="O7" s="39"/>
      <c r="P7" s="39"/>
      <c r="Q7" s="47"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4"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38" t="s">
        <v>286</v>
      </c>
      <c r="D10" s="3">
        <v>0</v>
      </c>
      <c r="E10" s="3">
        <v>0</v>
      </c>
      <c r="F10" s="3" t="e">
        <f>SecondLayerOffset</f>
        <v>#NAME?</v>
      </c>
      <c r="G10" s="3" t="e">
        <f>NumberOfLayers-1</f>
        <v>#NAME?</v>
      </c>
      <c r="H10" s="3"/>
      <c r="I10" s="3"/>
      <c r="J10" s="3"/>
      <c r="K10" s="3"/>
      <c r="L10" s="3"/>
      <c r="M10" s="3"/>
      <c r="N10" s="3"/>
      <c r="O10" s="3"/>
      <c r="P10" s="3"/>
      <c r="Q10" s="35" t="s">
        <v>281</v>
      </c>
      <c r="S10" s="5" t="s">
        <v>194</v>
      </c>
      <c r="T10" s="5">
        <v>0</v>
      </c>
      <c r="U10" s="5"/>
    </row>
    <row r="11" spans="1:46" x14ac:dyDescent="0.25">
      <c r="A11" s="2">
        <v>7</v>
      </c>
      <c r="B11" s="8" t="s">
        <v>52</v>
      </c>
      <c r="C11" s="8">
        <v>6</v>
      </c>
      <c r="D11" s="54"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46"/>
      <c r="T11" s="46"/>
      <c r="U11" s="70"/>
    </row>
    <row r="12" spans="1:46" x14ac:dyDescent="0.25">
      <c r="A12" s="2">
        <v>8</v>
      </c>
      <c r="S12" s="5" t="s">
        <v>338</v>
      </c>
      <c r="T12" s="5">
        <v>60</v>
      </c>
      <c r="U12" s="5" t="s">
        <v>43</v>
      </c>
      <c r="V12" s="1"/>
    </row>
    <row r="13" spans="1:46" ht="14.45" customHeight="1" x14ac:dyDescent="0.25">
      <c r="A13" s="2">
        <v>9</v>
      </c>
      <c r="C13" s="117" t="s">
        <v>342</v>
      </c>
      <c r="D13" s="117"/>
      <c r="E13" s="117"/>
      <c r="F13" s="117"/>
      <c r="G13" s="117"/>
      <c r="H13" s="117"/>
      <c r="I13" s="117"/>
      <c r="J13" s="117"/>
      <c r="K13" s="117"/>
      <c r="L13" s="117"/>
      <c r="M13" s="117"/>
      <c r="N13" s="117"/>
      <c r="S13" s="5" t="s">
        <v>85</v>
      </c>
      <c r="T13" s="5">
        <v>1000</v>
      </c>
      <c r="U13" s="5" t="s">
        <v>45</v>
      </c>
    </row>
    <row r="14" spans="1:46" x14ac:dyDescent="0.25">
      <c r="A14" s="2">
        <v>10</v>
      </c>
      <c r="C14" s="117" t="s">
        <v>336</v>
      </c>
      <c r="D14" s="117"/>
      <c r="E14" s="117"/>
      <c r="F14" s="117"/>
      <c r="G14" s="117"/>
      <c r="H14" s="117"/>
      <c r="I14" s="117"/>
      <c r="J14" s="117"/>
      <c r="K14" s="117"/>
      <c r="L14" s="117"/>
      <c r="M14" s="117"/>
      <c r="N14" s="117"/>
      <c r="S14" s="5" t="s">
        <v>86</v>
      </c>
      <c r="T14" s="5">
        <v>9000</v>
      </c>
      <c r="U14" s="5" t="s">
        <v>45</v>
      </c>
    </row>
    <row r="15" spans="1:46" x14ac:dyDescent="0.25">
      <c r="A15" s="2">
        <v>11</v>
      </c>
      <c r="C15" s="117" t="s">
        <v>337</v>
      </c>
      <c r="D15" s="117"/>
      <c r="E15" s="117"/>
      <c r="F15" s="117"/>
      <c r="G15" s="117"/>
      <c r="H15" s="117"/>
      <c r="I15" s="117"/>
      <c r="J15" s="117"/>
      <c r="K15" s="117"/>
      <c r="L15" s="117"/>
      <c r="M15" s="117"/>
      <c r="N15" s="117"/>
      <c r="S15" s="5" t="s">
        <v>41</v>
      </c>
      <c r="T15" s="5">
        <v>210</v>
      </c>
      <c r="U15" s="5" t="s">
        <v>43</v>
      </c>
      <c r="V15" s="1"/>
    </row>
    <row r="16" spans="1:46" x14ac:dyDescent="0.25">
      <c r="A16" s="2">
        <v>12</v>
      </c>
      <c r="C16" s="117" t="s">
        <v>550</v>
      </c>
      <c r="D16" s="117"/>
      <c r="E16" s="117"/>
      <c r="F16" s="117"/>
      <c r="G16" s="117"/>
      <c r="H16" s="117"/>
      <c r="I16" s="117"/>
      <c r="J16" s="117"/>
      <c r="K16" s="117"/>
      <c r="L16" s="117"/>
      <c r="M16" s="117"/>
      <c r="N16" s="117"/>
      <c r="S16" s="5" t="s">
        <v>42</v>
      </c>
      <c r="T16" s="5">
        <v>2.85</v>
      </c>
      <c r="U16" s="5" t="s">
        <v>44</v>
      </c>
    </row>
    <row r="17" spans="1:22" x14ac:dyDescent="0.25">
      <c r="A17" s="2">
        <v>13</v>
      </c>
      <c r="C17" s="117" t="s">
        <v>551</v>
      </c>
      <c r="D17" s="117"/>
      <c r="E17" s="117"/>
      <c r="F17" s="117"/>
      <c r="G17" s="117"/>
      <c r="H17" s="117"/>
      <c r="I17" s="117"/>
      <c r="J17" s="117"/>
      <c r="K17" s="117"/>
      <c r="L17" s="117"/>
      <c r="M17" s="117"/>
      <c r="N17" s="117"/>
      <c r="S17" s="5" t="s">
        <v>46</v>
      </c>
      <c r="T17" s="5" t="s">
        <v>82</v>
      </c>
      <c r="U17" s="5" t="s">
        <v>90</v>
      </c>
    </row>
    <row r="18" spans="1:22" x14ac:dyDescent="0.25">
      <c r="A18" s="2">
        <v>14</v>
      </c>
      <c r="S18" s="5" t="s">
        <v>108</v>
      </c>
      <c r="T18" s="5" t="s">
        <v>153</v>
      </c>
      <c r="U18" s="5"/>
    </row>
    <row r="19" spans="1:22" x14ac:dyDescent="0.25">
      <c r="A19" s="2">
        <v>15</v>
      </c>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3" spans="19:21" x14ac:dyDescent="0.25">
      <c r="S33" s="75" t="s">
        <v>292</v>
      </c>
      <c r="T33" s="75" t="s">
        <v>293</v>
      </c>
      <c r="U33" s="76" t="s">
        <v>331</v>
      </c>
    </row>
    <row r="34" spans="19:21" x14ac:dyDescent="0.25">
      <c r="S34" s="59"/>
      <c r="T34" s="59"/>
      <c r="U34" s="71"/>
    </row>
    <row r="35" spans="19:21" x14ac:dyDescent="0.25">
      <c r="S35" s="59" t="s">
        <v>326</v>
      </c>
      <c r="T35" s="59"/>
      <c r="U35" s="71"/>
    </row>
    <row r="36" spans="19:21" x14ac:dyDescent="0.25">
      <c r="S36" s="59" t="s">
        <v>271</v>
      </c>
      <c r="T36" s="59">
        <v>50</v>
      </c>
      <c r="U36" s="71" t="s">
        <v>44</v>
      </c>
    </row>
    <row r="37" spans="19:21" x14ac:dyDescent="0.25">
      <c r="S37" s="59" t="s">
        <v>272</v>
      </c>
      <c r="T37" s="59">
        <v>50</v>
      </c>
      <c r="U37" s="71" t="s">
        <v>44</v>
      </c>
    </row>
    <row r="38" spans="19:21" x14ac:dyDescent="0.25">
      <c r="S38" s="59" t="s">
        <v>179</v>
      </c>
      <c r="T38" s="59">
        <v>0.6</v>
      </c>
      <c r="U38" s="71" t="s">
        <v>44</v>
      </c>
    </row>
    <row r="39" spans="19:21" x14ac:dyDescent="0.25">
      <c r="S39" s="59" t="s">
        <v>180</v>
      </c>
      <c r="T39" s="59">
        <v>0.2</v>
      </c>
      <c r="U39" s="71" t="s">
        <v>44</v>
      </c>
    </row>
    <row r="40" spans="19:21" x14ac:dyDescent="0.25">
      <c r="S40" s="59" t="s">
        <v>136</v>
      </c>
      <c r="T40" s="59">
        <v>4</v>
      </c>
      <c r="U40" s="71" t="s">
        <v>89</v>
      </c>
    </row>
    <row r="41" spans="19:21" x14ac:dyDescent="0.25">
      <c r="S41" s="59" t="s">
        <v>103</v>
      </c>
      <c r="T41" s="59">
        <v>16</v>
      </c>
      <c r="U41" s="71" t="s">
        <v>44</v>
      </c>
    </row>
    <row r="42" spans="19:21" x14ac:dyDescent="0.25">
      <c r="S42" s="59" t="s">
        <v>274</v>
      </c>
      <c r="T42" s="59">
        <v>40</v>
      </c>
      <c r="U42" s="71" t="s">
        <v>89</v>
      </c>
    </row>
    <row r="43" spans="19:21" x14ac:dyDescent="0.25">
      <c r="S43" s="59" t="s">
        <v>101</v>
      </c>
      <c r="T43" s="59">
        <v>90</v>
      </c>
      <c r="U43" s="71" t="s">
        <v>137</v>
      </c>
    </row>
    <row r="44" spans="19:21" x14ac:dyDescent="0.25">
      <c r="S44" s="59"/>
      <c r="T44" s="59"/>
      <c r="U44" s="71" t="s">
        <v>109</v>
      </c>
    </row>
    <row r="45" spans="19:21" x14ac:dyDescent="0.25">
      <c r="S45" s="59"/>
      <c r="T45" s="59"/>
      <c r="U45" s="71" t="s">
        <v>109</v>
      </c>
    </row>
    <row r="46" spans="19:21" x14ac:dyDescent="0.25">
      <c r="S46" s="61" t="s">
        <v>327</v>
      </c>
      <c r="T46" s="61"/>
      <c r="U46" s="71"/>
    </row>
    <row r="47" spans="19:21" x14ac:dyDescent="0.25">
      <c r="S47" s="61" t="s">
        <v>104</v>
      </c>
      <c r="T47" s="61" t="e">
        <f>Period/2</f>
        <v>#NAME?</v>
      </c>
      <c r="U47" s="71" t="s">
        <v>44</v>
      </c>
    </row>
    <row r="48" spans="19:21" x14ac:dyDescent="0.25">
      <c r="S48" s="61" t="s">
        <v>105</v>
      </c>
      <c r="T48" s="61" t="e">
        <f>Period/4</f>
        <v>#NAME?</v>
      </c>
      <c r="U48" s="71" t="s">
        <v>44</v>
      </c>
    </row>
    <row r="49" spans="1:46" x14ac:dyDescent="0.25">
      <c r="S49" s="61" t="s">
        <v>102</v>
      </c>
      <c r="T49" s="61" t="e">
        <f>ArcAngle/2</f>
        <v>#NAME?</v>
      </c>
      <c r="U49" s="71" t="s">
        <v>137</v>
      </c>
    </row>
    <row r="50" spans="1:46" x14ac:dyDescent="0.25">
      <c r="S50" s="61" t="s">
        <v>276</v>
      </c>
      <c r="T50" s="61" t="e">
        <f>NumberOfLayers*SecondLayerOffset</f>
        <v>#NAME?</v>
      </c>
      <c r="U50" s="71" t="s">
        <v>44</v>
      </c>
    </row>
    <row r="51" spans="1:46" x14ac:dyDescent="0.25">
      <c r="S51" s="61" t="s">
        <v>275</v>
      </c>
      <c r="T51" s="61">
        <f>_xlfn.SINGLE(Height)/2</f>
        <v>2.7</v>
      </c>
      <c r="U51" s="71" t="s">
        <v>44</v>
      </c>
    </row>
    <row r="53" spans="1:46" x14ac:dyDescent="0.25">
      <c r="A53" s="33" t="s">
        <v>129</v>
      </c>
      <c r="B53" s="2" t="s">
        <v>322</v>
      </c>
      <c r="C53" s="33" t="s">
        <v>128</v>
      </c>
      <c r="D53" s="2" t="s">
        <v>334</v>
      </c>
      <c r="AO53" t="s">
        <v>130</v>
      </c>
      <c r="AP53" t="s">
        <v>321</v>
      </c>
      <c r="AQ53" t="s">
        <v>129</v>
      </c>
      <c r="AR53" t="s">
        <v>322</v>
      </c>
      <c r="AS53" t="s">
        <v>128</v>
      </c>
      <c r="AT53" t="s">
        <v>334</v>
      </c>
    </row>
    <row r="54" spans="1:46" x14ac:dyDescent="0.25">
      <c r="A54" s="32" t="s">
        <v>0</v>
      </c>
      <c r="B54" s="33"/>
      <c r="C54" s="18"/>
      <c r="D54" s="18"/>
      <c r="E54" s="18"/>
      <c r="F54" s="18"/>
      <c r="G54" s="18"/>
      <c r="H54" s="18"/>
      <c r="I54" s="18"/>
      <c r="J54" s="18"/>
      <c r="K54" s="18"/>
      <c r="L54" s="18"/>
      <c r="M54" s="18"/>
      <c r="N54" s="18"/>
      <c r="O54" s="18"/>
      <c r="P54" s="18"/>
      <c r="Q54" s="33" t="s">
        <v>289</v>
      </c>
    </row>
    <row r="55" spans="1:46" x14ac:dyDescent="0.25">
      <c r="A55" s="2">
        <v>1</v>
      </c>
      <c r="B55" s="26" t="s">
        <v>1</v>
      </c>
      <c r="C55" s="26" t="s">
        <v>18</v>
      </c>
      <c r="D55" s="26">
        <v>50</v>
      </c>
      <c r="E55" s="26">
        <v>50</v>
      </c>
      <c r="F55" s="26">
        <v>0</v>
      </c>
      <c r="G55" s="26" t="s">
        <v>100</v>
      </c>
      <c r="H55" s="26" t="s">
        <v>126</v>
      </c>
      <c r="I55" s="26" t="s">
        <v>100</v>
      </c>
      <c r="J55" s="26" t="s">
        <v>19</v>
      </c>
      <c r="K55" s="26" t="e">
        <f>ShoulderThickness</f>
        <v>#NAME?</v>
      </c>
      <c r="L55" s="26" t="e">
        <f>LayerHeight</f>
        <v>#NAME?</v>
      </c>
      <c r="M55" s="26"/>
      <c r="N55" s="26"/>
      <c r="O55" s="26"/>
      <c r="P55" s="26"/>
      <c r="Q55" s="6" t="s">
        <v>310</v>
      </c>
      <c r="S55" s="74" t="s">
        <v>40</v>
      </c>
      <c r="T55" s="3"/>
      <c r="U55" s="5"/>
    </row>
    <row r="56" spans="1:46" x14ac:dyDescent="0.25">
      <c r="A56" s="2">
        <v>2</v>
      </c>
      <c r="B56" s="25" t="s">
        <v>54</v>
      </c>
      <c r="C56" s="19" t="s">
        <v>290</v>
      </c>
      <c r="D56" s="25">
        <f>50+(45/2)</f>
        <v>72.5</v>
      </c>
      <c r="E56" s="25">
        <f>50+(45/2)</f>
        <v>72.5</v>
      </c>
      <c r="F56" s="25">
        <v>-90</v>
      </c>
      <c r="G56" s="25">
        <v>0</v>
      </c>
      <c r="H56" s="25">
        <v>3</v>
      </c>
      <c r="I56" s="25"/>
      <c r="J56" s="25"/>
      <c r="K56" s="25"/>
      <c r="L56" s="25"/>
      <c r="M56" s="25"/>
      <c r="N56" s="25"/>
      <c r="O56" s="25"/>
      <c r="P56" s="25"/>
      <c r="Q56" s="23" t="s">
        <v>311</v>
      </c>
      <c r="S56" s="5" t="s">
        <v>98</v>
      </c>
      <c r="T56" s="5">
        <v>0.2</v>
      </c>
      <c r="U56" s="5" t="s">
        <v>44</v>
      </c>
    </row>
    <row r="57" spans="1:46" x14ac:dyDescent="0.25">
      <c r="A57" s="2">
        <v>3</v>
      </c>
      <c r="B57" s="22" t="s">
        <v>55</v>
      </c>
      <c r="C57" s="21" t="s">
        <v>285</v>
      </c>
      <c r="D57" s="22">
        <v>0</v>
      </c>
      <c r="E57" s="22">
        <v>0</v>
      </c>
      <c r="F57" s="22" t="e">
        <f>LayerHeight</f>
        <v>#NAME?</v>
      </c>
      <c r="G57" s="22" t="e">
        <f>(45/LayerHeight)-1</f>
        <v>#NAME?</v>
      </c>
      <c r="H57" s="22"/>
      <c r="I57" s="22"/>
      <c r="J57" s="22"/>
      <c r="K57" s="22"/>
      <c r="L57" s="22"/>
      <c r="M57" s="22"/>
      <c r="N57" s="22"/>
      <c r="O57" s="22"/>
      <c r="P57" s="22"/>
      <c r="Q57" s="7" t="s">
        <v>312</v>
      </c>
      <c r="S57" s="5" t="s">
        <v>87</v>
      </c>
      <c r="T57" s="5">
        <v>1</v>
      </c>
      <c r="U57" s="5" t="s">
        <v>89</v>
      </c>
    </row>
    <row r="58" spans="1:46" x14ac:dyDescent="0.25">
      <c r="A58" s="2">
        <v>4</v>
      </c>
      <c r="B58" s="8" t="s">
        <v>52</v>
      </c>
      <c r="C58" s="8">
        <v>3</v>
      </c>
      <c r="D58" s="28" t="s">
        <v>22</v>
      </c>
      <c r="E58" s="8" t="e">
        <f>14/LayerHeight-1</f>
        <v>#NAME?</v>
      </c>
      <c r="F58" s="8" t="e">
        <f>(14+1.4)/LayerHeight-1</f>
        <v>#NAME?</v>
      </c>
      <c r="G58" s="8" t="s">
        <v>24</v>
      </c>
      <c r="H58" s="8" t="e">
        <f>-(ShoulderThickness-GaugeThickness)/(F58-E58)</f>
        <v>#NAME?</v>
      </c>
      <c r="I58" s="8"/>
      <c r="J58" s="8"/>
      <c r="K58" s="8"/>
      <c r="L58" s="8"/>
      <c r="M58" s="8"/>
      <c r="N58" s="8"/>
      <c r="O58" s="8"/>
      <c r="P58" s="8"/>
      <c r="Q58" s="9" t="s">
        <v>314</v>
      </c>
      <c r="S58" s="5" t="s">
        <v>88</v>
      </c>
      <c r="T58" s="5">
        <v>1</v>
      </c>
      <c r="U58" s="5" t="s">
        <v>89</v>
      </c>
    </row>
    <row r="59" spans="1:46" x14ac:dyDescent="0.25">
      <c r="A59" s="2">
        <v>5</v>
      </c>
      <c r="B59" s="29" t="s">
        <v>52</v>
      </c>
      <c r="C59" s="29">
        <v>3</v>
      </c>
      <c r="D59" s="30" t="s">
        <v>22</v>
      </c>
      <c r="E59" s="29" t="e">
        <f>(14+1.4)/LayerHeight-1</f>
        <v>#NAME?</v>
      </c>
      <c r="F59" s="29" t="e">
        <f>(14+1.4+14)/LayerHeight-1</f>
        <v>#NAME?</v>
      </c>
      <c r="G59" s="29" t="s">
        <v>15</v>
      </c>
      <c r="H59" s="29" t="e">
        <f>GaugeThickness</f>
        <v>#NAME?</v>
      </c>
      <c r="I59" s="29"/>
      <c r="J59" s="29"/>
      <c r="K59" s="29"/>
      <c r="L59" s="29"/>
      <c r="M59" s="29"/>
      <c r="N59" s="29"/>
      <c r="O59" s="29"/>
      <c r="P59" s="29"/>
      <c r="Q59" s="17" t="s">
        <v>313</v>
      </c>
      <c r="S59" s="5" t="s">
        <v>193</v>
      </c>
      <c r="T59" s="5" t="s">
        <v>204</v>
      </c>
      <c r="U59" s="5"/>
    </row>
    <row r="60" spans="1:46" x14ac:dyDescent="0.25">
      <c r="A60" s="2">
        <v>6</v>
      </c>
      <c r="B60" s="15" t="s">
        <v>52</v>
      </c>
      <c r="C60" s="15">
        <v>3</v>
      </c>
      <c r="D60" s="31" t="s">
        <v>22</v>
      </c>
      <c r="E60" s="15" t="e">
        <f>(14+1.4+14)/LayerHeight-1</f>
        <v>#NAME?</v>
      </c>
      <c r="F60" s="15" t="e">
        <f>(14+1.4+14+1.4)/LayerHeight-1</f>
        <v>#NAME?</v>
      </c>
      <c r="G60" s="15" t="s">
        <v>15</v>
      </c>
      <c r="H60" s="15" t="e">
        <f>GaugeThickness</f>
        <v>#NAME?</v>
      </c>
      <c r="I60" s="15"/>
      <c r="J60" s="15"/>
      <c r="K60" s="15"/>
      <c r="L60" s="15"/>
      <c r="M60" s="15"/>
      <c r="N60" s="15"/>
      <c r="O60" s="15"/>
      <c r="P60" s="15"/>
      <c r="Q60" s="16" t="s">
        <v>316</v>
      </c>
      <c r="S60" s="5" t="s">
        <v>194</v>
      </c>
      <c r="T60" s="5">
        <v>0</v>
      </c>
      <c r="U60" s="5"/>
    </row>
    <row r="61" spans="1:46" x14ac:dyDescent="0.25">
      <c r="A61" s="2">
        <v>7</v>
      </c>
      <c r="B61" s="15" t="s">
        <v>52</v>
      </c>
      <c r="C61" s="15">
        <v>3</v>
      </c>
      <c r="D61" s="31" t="s">
        <v>22</v>
      </c>
      <c r="E61" s="15" t="e">
        <f>(14+1.4+14)/LayerHeight-1</f>
        <v>#NAME?</v>
      </c>
      <c r="F61" s="15" t="e">
        <f>(14+1.4+14+1.4)/LayerHeight-1</f>
        <v>#NAME?</v>
      </c>
      <c r="G61" s="15" t="s">
        <v>24</v>
      </c>
      <c r="H61" s="15" t="e">
        <f>(ShoulderThickness-GaugeThickness)/(F61-E61)</f>
        <v>#NAME?</v>
      </c>
      <c r="I61" s="15"/>
      <c r="J61" s="15"/>
      <c r="K61" s="15"/>
      <c r="L61" s="15"/>
      <c r="M61" s="15"/>
      <c r="N61" s="15"/>
      <c r="O61" s="15"/>
      <c r="P61" s="15"/>
      <c r="Q61" s="16" t="s">
        <v>315</v>
      </c>
      <c r="S61" s="46"/>
      <c r="T61" s="46"/>
      <c r="U61" s="70"/>
    </row>
    <row r="62" spans="1:46" x14ac:dyDescent="0.25">
      <c r="A62" s="2">
        <v>8</v>
      </c>
      <c r="B62" s="2"/>
      <c r="C62" s="2"/>
      <c r="D62" s="2"/>
      <c r="E62" s="2"/>
      <c r="F62" s="2"/>
      <c r="G62" s="2"/>
      <c r="H62" s="2"/>
      <c r="I62" s="2"/>
      <c r="J62" s="2"/>
      <c r="K62" s="2"/>
      <c r="L62" s="2"/>
      <c r="M62" s="2"/>
      <c r="N62" s="2"/>
      <c r="O62" s="2"/>
      <c r="P62" s="2"/>
      <c r="Q62" s="2"/>
      <c r="S62" s="5" t="s">
        <v>338</v>
      </c>
      <c r="T62" s="5">
        <v>60</v>
      </c>
      <c r="U62" s="5" t="s">
        <v>43</v>
      </c>
      <c r="V62" s="1"/>
    </row>
    <row r="63" spans="1:46" x14ac:dyDescent="0.25">
      <c r="A63" s="2">
        <v>9</v>
      </c>
      <c r="B63" s="2"/>
      <c r="C63" s="2"/>
      <c r="D63" s="2" t="s">
        <v>317</v>
      </c>
      <c r="E63" s="2"/>
      <c r="F63" s="36" t="s">
        <v>318</v>
      </c>
      <c r="G63" s="2"/>
      <c r="H63" s="2"/>
      <c r="I63" s="2"/>
      <c r="J63" s="2"/>
      <c r="K63" s="2"/>
      <c r="L63" s="2"/>
      <c r="M63" s="2"/>
      <c r="N63" s="2"/>
      <c r="O63" s="2"/>
      <c r="P63" s="2"/>
      <c r="Q63" s="2"/>
      <c r="S63" s="5" t="s">
        <v>85</v>
      </c>
      <c r="T63" s="5">
        <v>1000</v>
      </c>
      <c r="U63" s="5" t="s">
        <v>45</v>
      </c>
    </row>
    <row r="64" spans="1:46" x14ac:dyDescent="0.25">
      <c r="A64" s="2">
        <v>10</v>
      </c>
      <c r="B64" s="2"/>
      <c r="C64" s="2"/>
      <c r="D64" s="2"/>
      <c r="E64" s="2"/>
      <c r="F64" s="36" t="s">
        <v>319</v>
      </c>
      <c r="G64" s="2"/>
      <c r="H64" s="2"/>
      <c r="I64" s="2"/>
      <c r="J64" s="2"/>
      <c r="K64" s="2"/>
      <c r="L64" s="2"/>
      <c r="M64" s="2"/>
      <c r="N64" s="2"/>
      <c r="O64" s="2"/>
      <c r="P64" s="2"/>
      <c r="Q64" s="2"/>
      <c r="S64" s="5" t="s">
        <v>86</v>
      </c>
      <c r="T64" s="5">
        <v>9000</v>
      </c>
      <c r="U64" s="5" t="s">
        <v>45</v>
      </c>
    </row>
    <row r="65" spans="1:22" x14ac:dyDescent="0.25">
      <c r="A65" s="2">
        <v>11</v>
      </c>
      <c r="B65" s="2"/>
      <c r="C65" s="2"/>
      <c r="D65" s="2"/>
      <c r="E65" s="2"/>
      <c r="F65" s="36" t="s">
        <v>320</v>
      </c>
      <c r="G65" s="2"/>
      <c r="H65" s="2"/>
      <c r="I65" s="2"/>
      <c r="J65" s="2"/>
      <c r="K65" s="2"/>
      <c r="L65" s="2"/>
      <c r="M65" s="2"/>
      <c r="N65" s="2"/>
      <c r="O65" s="2"/>
      <c r="P65" s="2"/>
      <c r="Q65" s="2"/>
      <c r="S65" s="5" t="s">
        <v>41</v>
      </c>
      <c r="T65" s="5">
        <v>210</v>
      </c>
      <c r="U65" s="5" t="s">
        <v>43</v>
      </c>
      <c r="V65" s="1"/>
    </row>
    <row r="66" spans="1:22" x14ac:dyDescent="0.25">
      <c r="S66" s="5" t="s">
        <v>42</v>
      </c>
      <c r="T66" s="5">
        <v>2.85</v>
      </c>
      <c r="U66" s="5" t="s">
        <v>44</v>
      </c>
    </row>
    <row r="67" spans="1:22" x14ac:dyDescent="0.25">
      <c r="S67" s="5" t="s">
        <v>46</v>
      </c>
      <c r="T67" s="5" t="s">
        <v>82</v>
      </c>
      <c r="U67" s="5" t="s">
        <v>90</v>
      </c>
    </row>
    <row r="68" spans="1:22" x14ac:dyDescent="0.25">
      <c r="S68" s="5" t="s">
        <v>108</v>
      </c>
      <c r="T68" s="5" t="s">
        <v>153</v>
      </c>
      <c r="U68" s="5"/>
    </row>
    <row r="69" spans="1:22" x14ac:dyDescent="0.25">
      <c r="S69" s="5" t="s">
        <v>152</v>
      </c>
      <c r="T69" s="5" t="s">
        <v>125</v>
      </c>
      <c r="U69" s="5"/>
    </row>
    <row r="70" spans="1:22" x14ac:dyDescent="0.25">
      <c r="S70" s="5" t="s">
        <v>167</v>
      </c>
      <c r="T70" s="5">
        <v>20</v>
      </c>
      <c r="U70" s="5" t="s">
        <v>44</v>
      </c>
    </row>
    <row r="71" spans="1:22" x14ac:dyDescent="0.25">
      <c r="S71" s="5" t="s">
        <v>168</v>
      </c>
      <c r="T71" s="5">
        <v>10</v>
      </c>
      <c r="U71" s="5" t="s">
        <v>44</v>
      </c>
    </row>
    <row r="72" spans="1:22" x14ac:dyDescent="0.25">
      <c r="S72" s="5" t="s">
        <v>169</v>
      </c>
      <c r="T72" s="5">
        <v>0.3</v>
      </c>
      <c r="U72" s="5" t="s">
        <v>44</v>
      </c>
    </row>
    <row r="73" spans="1:22" x14ac:dyDescent="0.25">
      <c r="S73" s="62" t="s">
        <v>339</v>
      </c>
      <c r="T73" s="5">
        <v>0</v>
      </c>
      <c r="U73" s="5"/>
      <c r="V73" s="1"/>
    </row>
    <row r="74" spans="1:22" x14ac:dyDescent="0.25">
      <c r="S74" s="5" t="s">
        <v>154</v>
      </c>
      <c r="T74" s="5" t="s">
        <v>166</v>
      </c>
      <c r="U74" s="5" t="s">
        <v>158</v>
      </c>
    </row>
    <row r="75" spans="1:22" x14ac:dyDescent="0.25">
      <c r="S75" s="5" t="s">
        <v>159</v>
      </c>
      <c r="T75" s="5">
        <v>5</v>
      </c>
      <c r="U75" s="5" t="s">
        <v>44</v>
      </c>
      <c r="V75" s="1"/>
    </row>
    <row r="76" spans="1:22" x14ac:dyDescent="0.25">
      <c r="S76" s="5" t="s">
        <v>160</v>
      </c>
      <c r="T76" s="5">
        <v>7</v>
      </c>
      <c r="U76" s="5" t="s">
        <v>90</v>
      </c>
    </row>
    <row r="77" spans="1:22" x14ac:dyDescent="0.25">
      <c r="S77" s="5" t="s">
        <v>161</v>
      </c>
      <c r="T77" s="5">
        <v>2500</v>
      </c>
      <c r="U77" s="5" t="s">
        <v>45</v>
      </c>
    </row>
    <row r="78" spans="1:22" x14ac:dyDescent="0.25">
      <c r="S78" s="5" t="s">
        <v>162</v>
      </c>
      <c r="T78" s="5">
        <f>-T76</f>
        <v>-7</v>
      </c>
      <c r="U78" s="5" t="s">
        <v>90</v>
      </c>
    </row>
    <row r="79" spans="1:22" x14ac:dyDescent="0.25">
      <c r="S79" s="3" t="s">
        <v>163</v>
      </c>
      <c r="T79" s="3">
        <f>T77</f>
        <v>2500</v>
      </c>
      <c r="U79" s="5" t="s">
        <v>45</v>
      </c>
    </row>
    <row r="80" spans="1:22" x14ac:dyDescent="0.25">
      <c r="S80" s="3" t="s">
        <v>164</v>
      </c>
      <c r="T80" s="3">
        <v>0.2</v>
      </c>
      <c r="U80" s="5" t="s">
        <v>44</v>
      </c>
    </row>
    <row r="81" spans="1:46" x14ac:dyDescent="0.25">
      <c r="S81" s="3" t="s">
        <v>165</v>
      </c>
      <c r="T81" s="3">
        <v>7500</v>
      </c>
      <c r="U81" s="5" t="s">
        <v>45</v>
      </c>
    </row>
    <row r="83" spans="1:46" x14ac:dyDescent="0.25">
      <c r="S83" s="75" t="s">
        <v>292</v>
      </c>
      <c r="T83" s="75" t="s">
        <v>293</v>
      </c>
      <c r="U83" s="76" t="s">
        <v>331</v>
      </c>
    </row>
    <row r="84" spans="1:46" x14ac:dyDescent="0.25">
      <c r="S84" s="59"/>
      <c r="T84" s="59"/>
      <c r="U84" s="71"/>
    </row>
    <row r="85" spans="1:46" x14ac:dyDescent="0.25">
      <c r="S85" s="59" t="s">
        <v>309</v>
      </c>
      <c r="T85" s="59">
        <v>0.2</v>
      </c>
      <c r="U85" s="71" t="s">
        <v>44</v>
      </c>
    </row>
    <row r="86" spans="1:46" x14ac:dyDescent="0.25">
      <c r="S86" s="59" t="s">
        <v>307</v>
      </c>
      <c r="T86" s="59">
        <v>1</v>
      </c>
      <c r="U86" s="71" t="s">
        <v>44</v>
      </c>
    </row>
    <row r="87" spans="1:46" x14ac:dyDescent="0.25">
      <c r="S87" s="59" t="s">
        <v>308</v>
      </c>
      <c r="T87" s="59">
        <v>0.5</v>
      </c>
      <c r="U87" s="71" t="s">
        <v>44</v>
      </c>
    </row>
    <row r="89" spans="1:46" x14ac:dyDescent="0.25">
      <c r="A89" s="33" t="s">
        <v>129</v>
      </c>
      <c r="B89" s="2" t="s">
        <v>324</v>
      </c>
      <c r="C89" s="33" t="s">
        <v>128</v>
      </c>
      <c r="D89" s="2" t="s">
        <v>334</v>
      </c>
      <c r="AO89" t="s">
        <v>130</v>
      </c>
      <c r="AP89" t="s">
        <v>325</v>
      </c>
      <c r="AQ89" t="s">
        <v>129</v>
      </c>
      <c r="AR89" t="s">
        <v>324</v>
      </c>
      <c r="AS89" t="s">
        <v>128</v>
      </c>
      <c r="AT89" t="s">
        <v>334</v>
      </c>
    </row>
    <row r="90" spans="1:46" x14ac:dyDescent="0.25">
      <c r="A90" s="32" t="s">
        <v>0</v>
      </c>
      <c r="B90" s="33"/>
      <c r="C90" s="18"/>
      <c r="D90" s="18"/>
      <c r="E90" s="18"/>
      <c r="F90" s="18"/>
      <c r="G90" s="18"/>
      <c r="H90" s="18"/>
      <c r="I90" s="18"/>
      <c r="J90" s="18"/>
      <c r="K90" s="18"/>
      <c r="L90" s="18"/>
      <c r="M90" s="18"/>
      <c r="N90" s="18"/>
      <c r="O90" s="18"/>
      <c r="P90" s="18"/>
      <c r="Q90" s="33" t="s">
        <v>289</v>
      </c>
    </row>
    <row r="91" spans="1:46" x14ac:dyDescent="0.25">
      <c r="A91" s="2">
        <v>1</v>
      </c>
      <c r="B91" s="10" t="s">
        <v>111</v>
      </c>
      <c r="C91" s="10" t="s">
        <v>332</v>
      </c>
      <c r="D91" s="10" t="s">
        <v>333</v>
      </c>
      <c r="E91" s="10" t="s">
        <v>114</v>
      </c>
      <c r="F91" s="10" t="s">
        <v>113</v>
      </c>
      <c r="G91" s="10">
        <v>250</v>
      </c>
      <c r="H91" s="10">
        <f>G91*40</f>
        <v>10000</v>
      </c>
      <c r="I91" s="10">
        <v>0.5</v>
      </c>
      <c r="J91" s="10">
        <v>0.2</v>
      </c>
      <c r="K91" s="10"/>
      <c r="L91" s="10"/>
      <c r="M91" s="10"/>
      <c r="N91" s="10"/>
      <c r="O91" s="10"/>
      <c r="P91" s="10"/>
      <c r="Q91" s="10" t="s">
        <v>323</v>
      </c>
      <c r="S91" s="74" t="s">
        <v>40</v>
      </c>
      <c r="T91" s="3"/>
      <c r="U91" s="5"/>
    </row>
    <row r="92" spans="1:46" x14ac:dyDescent="0.25">
      <c r="A92" s="2">
        <v>2</v>
      </c>
      <c r="B92" s="2"/>
      <c r="C92" s="2"/>
      <c r="D92" s="2"/>
      <c r="E92" s="2"/>
      <c r="F92" s="2"/>
      <c r="G92" s="2"/>
      <c r="H92" s="2"/>
      <c r="I92" s="2"/>
      <c r="J92" s="2"/>
      <c r="K92" s="2"/>
      <c r="L92" s="2"/>
      <c r="M92" s="2"/>
      <c r="N92" s="2"/>
      <c r="O92" s="2"/>
      <c r="P92" s="2"/>
      <c r="Q92" s="2"/>
      <c r="S92" s="5" t="s">
        <v>98</v>
      </c>
      <c r="T92" s="5">
        <v>0.2</v>
      </c>
      <c r="U92" s="5" t="s">
        <v>44</v>
      </c>
    </row>
    <row r="93" spans="1:46" x14ac:dyDescent="0.25">
      <c r="A93" s="2">
        <v>3</v>
      </c>
      <c r="B93" s="2"/>
      <c r="C93" s="2"/>
      <c r="D93" s="2"/>
      <c r="E93" s="2"/>
      <c r="F93" s="2"/>
      <c r="G93" s="2"/>
      <c r="H93" s="2"/>
      <c r="I93" s="2"/>
      <c r="J93" s="2"/>
      <c r="K93" s="2"/>
      <c r="L93" s="2"/>
      <c r="M93" s="2"/>
      <c r="N93" s="2"/>
      <c r="O93" s="2"/>
      <c r="P93" s="2"/>
      <c r="Q93" s="2"/>
      <c r="S93" s="5" t="s">
        <v>87</v>
      </c>
      <c r="T93" s="5">
        <v>1</v>
      </c>
      <c r="U93" s="5" t="s">
        <v>89</v>
      </c>
    </row>
    <row r="94" spans="1:46" x14ac:dyDescent="0.25">
      <c r="A94" s="2">
        <v>4</v>
      </c>
      <c r="B94" s="2"/>
      <c r="C94" s="2"/>
      <c r="D94" s="2"/>
      <c r="E94" s="2"/>
      <c r="F94" s="2"/>
      <c r="G94" s="2"/>
      <c r="H94" s="2"/>
      <c r="I94" s="2"/>
      <c r="J94" s="2"/>
      <c r="K94" s="2"/>
      <c r="L94" s="2"/>
      <c r="M94" s="2"/>
      <c r="N94" s="2"/>
      <c r="O94" s="2"/>
      <c r="P94" s="2"/>
      <c r="Q94" s="2"/>
      <c r="S94" s="5" t="s">
        <v>88</v>
      </c>
      <c r="T94" s="5">
        <v>1</v>
      </c>
      <c r="U94" s="5" t="s">
        <v>89</v>
      </c>
    </row>
    <row r="95" spans="1:46" x14ac:dyDescent="0.25">
      <c r="A95" s="2">
        <v>5</v>
      </c>
      <c r="B95" s="2"/>
      <c r="C95" s="2"/>
      <c r="D95" s="2"/>
      <c r="E95" s="2"/>
      <c r="F95" s="2"/>
      <c r="G95" s="2"/>
      <c r="H95" s="2"/>
      <c r="I95" s="2"/>
      <c r="J95" s="2"/>
      <c r="K95" s="2"/>
      <c r="L95" s="2"/>
      <c r="M95" s="2"/>
      <c r="N95" s="2"/>
      <c r="O95" s="2"/>
      <c r="P95" s="2"/>
      <c r="Q95" s="2"/>
      <c r="S95" s="5" t="s">
        <v>193</v>
      </c>
      <c r="T95" s="5" t="s">
        <v>204</v>
      </c>
      <c r="U95" s="5"/>
    </row>
    <row r="96" spans="1:46" x14ac:dyDescent="0.25">
      <c r="A96" s="2">
        <v>6</v>
      </c>
      <c r="B96" s="2"/>
      <c r="C96" s="2"/>
      <c r="D96" s="2"/>
      <c r="E96" s="2"/>
      <c r="F96" s="2"/>
      <c r="G96" s="2"/>
      <c r="H96" s="2"/>
      <c r="I96" s="2"/>
      <c r="J96" s="2"/>
      <c r="K96" s="2"/>
      <c r="L96" s="2"/>
      <c r="M96" s="2"/>
      <c r="N96" s="2"/>
      <c r="O96" s="2"/>
      <c r="P96" s="2"/>
      <c r="Q96" s="2"/>
      <c r="S96" s="5" t="s">
        <v>194</v>
      </c>
      <c r="T96" s="5">
        <v>0</v>
      </c>
      <c r="U96" s="5"/>
    </row>
    <row r="97" spans="1:22" x14ac:dyDescent="0.25">
      <c r="A97" s="2">
        <v>7</v>
      </c>
      <c r="B97" s="2"/>
      <c r="C97" s="2"/>
      <c r="D97" s="2"/>
      <c r="E97" s="2"/>
      <c r="F97" s="2"/>
      <c r="G97" s="2"/>
      <c r="H97" s="2"/>
      <c r="I97" s="2"/>
      <c r="J97" s="2"/>
      <c r="K97" s="2"/>
      <c r="L97" s="2"/>
      <c r="M97" s="2"/>
      <c r="N97" s="2"/>
      <c r="O97" s="2"/>
      <c r="P97" s="2"/>
      <c r="Q97" s="2"/>
      <c r="S97" s="46"/>
      <c r="T97" s="46"/>
      <c r="U97" s="70"/>
    </row>
    <row r="98" spans="1:22" x14ac:dyDescent="0.25">
      <c r="A98" s="2">
        <v>8</v>
      </c>
      <c r="B98" s="2"/>
      <c r="C98" s="2"/>
      <c r="D98" s="2"/>
      <c r="E98" s="2"/>
      <c r="F98" s="2"/>
      <c r="G98" s="2"/>
      <c r="H98" s="2"/>
      <c r="I98" s="2"/>
      <c r="J98" s="2"/>
      <c r="K98" s="2"/>
      <c r="L98" s="2"/>
      <c r="M98" s="2"/>
      <c r="N98" s="2"/>
      <c r="O98" s="2"/>
      <c r="P98" s="2"/>
      <c r="Q98" s="2"/>
      <c r="S98" s="5" t="s">
        <v>338</v>
      </c>
      <c r="T98" s="5">
        <v>60</v>
      </c>
      <c r="U98" s="5" t="s">
        <v>43</v>
      </c>
      <c r="V98" s="1"/>
    </row>
    <row r="99" spans="1:22" x14ac:dyDescent="0.25">
      <c r="A99" s="2">
        <v>9</v>
      </c>
      <c r="B99" s="2"/>
      <c r="C99" s="2"/>
      <c r="D99" s="2"/>
      <c r="E99" s="2"/>
      <c r="F99" s="36"/>
      <c r="G99" s="2"/>
      <c r="H99" s="2"/>
      <c r="I99" s="2"/>
      <c r="J99" s="2"/>
      <c r="K99" s="2"/>
      <c r="L99" s="2"/>
      <c r="M99" s="2"/>
      <c r="N99" s="2"/>
      <c r="O99" s="2"/>
      <c r="P99" s="2"/>
      <c r="Q99" s="2"/>
      <c r="S99" s="5" t="s">
        <v>85</v>
      </c>
      <c r="T99" s="5">
        <v>1000</v>
      </c>
      <c r="U99" s="5" t="s">
        <v>45</v>
      </c>
    </row>
    <row r="100" spans="1:22" x14ac:dyDescent="0.25">
      <c r="A100" s="2">
        <v>10</v>
      </c>
      <c r="B100" s="2"/>
      <c r="C100" s="2"/>
      <c r="D100" s="2"/>
      <c r="E100" s="2"/>
      <c r="F100" s="36"/>
      <c r="G100" s="2"/>
      <c r="H100" s="2"/>
      <c r="I100" s="2"/>
      <c r="J100" s="2"/>
      <c r="K100" s="2"/>
      <c r="L100" s="2"/>
      <c r="M100" s="2"/>
      <c r="N100" s="2"/>
      <c r="O100" s="2"/>
      <c r="P100" s="2"/>
      <c r="Q100" s="2"/>
      <c r="S100" s="5" t="s">
        <v>86</v>
      </c>
      <c r="T100" s="5">
        <v>9000</v>
      </c>
      <c r="U100" s="5" t="s">
        <v>45</v>
      </c>
    </row>
    <row r="101" spans="1:22" x14ac:dyDescent="0.25">
      <c r="A101" s="2">
        <v>11</v>
      </c>
      <c r="B101" s="2"/>
      <c r="C101" s="2"/>
      <c r="D101" s="2"/>
      <c r="E101" s="2"/>
      <c r="F101" s="36"/>
      <c r="G101" s="2"/>
      <c r="H101" s="2"/>
      <c r="I101" s="2"/>
      <c r="J101" s="2"/>
      <c r="K101" s="2"/>
      <c r="L101" s="2"/>
      <c r="M101" s="2"/>
      <c r="N101" s="2"/>
      <c r="O101" s="2"/>
      <c r="P101" s="2"/>
      <c r="Q101" s="2"/>
      <c r="S101" s="5" t="s">
        <v>41</v>
      </c>
      <c r="T101" s="5">
        <v>210</v>
      </c>
      <c r="U101" s="5" t="s">
        <v>43</v>
      </c>
      <c r="V101" s="1"/>
    </row>
    <row r="102" spans="1:22" x14ac:dyDescent="0.25">
      <c r="S102" s="5" t="s">
        <v>42</v>
      </c>
      <c r="T102" s="5">
        <v>2.85</v>
      </c>
      <c r="U102" s="5" t="s">
        <v>44</v>
      </c>
    </row>
    <row r="103" spans="1:22" x14ac:dyDescent="0.25">
      <c r="S103" s="5" t="s">
        <v>46</v>
      </c>
      <c r="T103" s="5" t="s">
        <v>82</v>
      </c>
      <c r="U103" s="5" t="s">
        <v>90</v>
      </c>
    </row>
    <row r="104" spans="1:22" x14ac:dyDescent="0.25">
      <c r="S104" s="5" t="s">
        <v>108</v>
      </c>
      <c r="T104" s="5" t="s">
        <v>153</v>
      </c>
      <c r="U104" s="5"/>
    </row>
    <row r="105" spans="1:22" x14ac:dyDescent="0.25">
      <c r="S105" s="5" t="s">
        <v>152</v>
      </c>
      <c r="T105" s="5" t="s">
        <v>125</v>
      </c>
      <c r="U105" s="5"/>
    </row>
    <row r="106" spans="1:22" x14ac:dyDescent="0.25">
      <c r="S106" s="5" t="s">
        <v>167</v>
      </c>
      <c r="T106" s="5">
        <v>20</v>
      </c>
      <c r="U106" s="5" t="s">
        <v>44</v>
      </c>
    </row>
    <row r="107" spans="1:22" x14ac:dyDescent="0.25">
      <c r="S107" s="5" t="s">
        <v>168</v>
      </c>
      <c r="T107" s="5">
        <v>10</v>
      </c>
      <c r="U107" s="5" t="s">
        <v>44</v>
      </c>
    </row>
    <row r="108" spans="1:22" x14ac:dyDescent="0.25">
      <c r="S108" s="5" t="s">
        <v>169</v>
      </c>
      <c r="T108" s="5">
        <v>0.3</v>
      </c>
      <c r="U108" s="5" t="s">
        <v>44</v>
      </c>
    </row>
    <row r="109" spans="1:22" x14ac:dyDescent="0.25">
      <c r="S109" s="62" t="s">
        <v>339</v>
      </c>
      <c r="T109" s="5">
        <v>0</v>
      </c>
      <c r="U109" s="5"/>
      <c r="V109" s="1"/>
    </row>
    <row r="110" spans="1:22" x14ac:dyDescent="0.25">
      <c r="S110" s="5" t="s">
        <v>154</v>
      </c>
      <c r="T110" s="5" t="s">
        <v>166</v>
      </c>
      <c r="U110" s="5" t="s">
        <v>158</v>
      </c>
    </row>
    <row r="111" spans="1:22" x14ac:dyDescent="0.25">
      <c r="S111" s="5" t="s">
        <v>159</v>
      </c>
      <c r="T111" s="5">
        <v>5</v>
      </c>
      <c r="U111" s="5" t="s">
        <v>44</v>
      </c>
      <c r="V111" s="1"/>
    </row>
    <row r="112" spans="1:22" x14ac:dyDescent="0.25">
      <c r="S112" s="5" t="s">
        <v>160</v>
      </c>
      <c r="T112" s="5">
        <v>7</v>
      </c>
      <c r="U112" s="5" t="s">
        <v>90</v>
      </c>
    </row>
    <row r="113" spans="1:46" x14ac:dyDescent="0.25">
      <c r="S113" s="5" t="s">
        <v>161</v>
      </c>
      <c r="T113" s="5">
        <v>2500</v>
      </c>
      <c r="U113" s="5" t="s">
        <v>45</v>
      </c>
    </row>
    <row r="114" spans="1:46" x14ac:dyDescent="0.25">
      <c r="S114" s="5" t="s">
        <v>162</v>
      </c>
      <c r="T114" s="5">
        <f>-T112</f>
        <v>-7</v>
      </c>
      <c r="U114" s="5" t="s">
        <v>90</v>
      </c>
    </row>
    <row r="115" spans="1:46" x14ac:dyDescent="0.25">
      <c r="S115" s="3" t="s">
        <v>163</v>
      </c>
      <c r="T115" s="3">
        <f>T113</f>
        <v>2500</v>
      </c>
      <c r="U115" s="5" t="s">
        <v>45</v>
      </c>
    </row>
    <row r="116" spans="1:46" x14ac:dyDescent="0.25">
      <c r="S116" s="3" t="s">
        <v>164</v>
      </c>
      <c r="T116" s="3">
        <v>0.2</v>
      </c>
      <c r="U116" s="5" t="s">
        <v>44</v>
      </c>
    </row>
    <row r="117" spans="1:46" x14ac:dyDescent="0.25">
      <c r="S117" s="3" t="s">
        <v>165</v>
      </c>
      <c r="T117" s="3">
        <v>7500</v>
      </c>
      <c r="U117" s="5" t="s">
        <v>45</v>
      </c>
    </row>
    <row r="119" spans="1:46" x14ac:dyDescent="0.25">
      <c r="S119" s="75" t="s">
        <v>292</v>
      </c>
      <c r="T119" s="75" t="s">
        <v>293</v>
      </c>
      <c r="U119" s="76" t="s">
        <v>331</v>
      </c>
    </row>
    <row r="120" spans="1:46" x14ac:dyDescent="0.25">
      <c r="S120" s="59"/>
      <c r="T120" s="59"/>
      <c r="U120" s="71"/>
    </row>
    <row r="121" spans="1:46" x14ac:dyDescent="0.25">
      <c r="S121" s="59" t="s">
        <v>14</v>
      </c>
      <c r="T121" s="59">
        <v>12</v>
      </c>
      <c r="U121" s="71" t="s">
        <v>44</v>
      </c>
    </row>
    <row r="122" spans="1:46" x14ac:dyDescent="0.25">
      <c r="S122" s="59" t="s">
        <v>330</v>
      </c>
      <c r="T122" s="59">
        <v>2</v>
      </c>
      <c r="U122" s="71" t="s">
        <v>44</v>
      </c>
    </row>
    <row r="123" spans="1:46" x14ac:dyDescent="0.25">
      <c r="S123" s="59"/>
      <c r="T123" s="59"/>
      <c r="U123" s="71"/>
    </row>
    <row r="125" spans="1:46" x14ac:dyDescent="0.25">
      <c r="A125" s="33" t="s">
        <v>129</v>
      </c>
      <c r="B125" s="2" t="s">
        <v>299</v>
      </c>
      <c r="C125" s="33" t="s">
        <v>128</v>
      </c>
      <c r="D125" s="2" t="s">
        <v>334</v>
      </c>
      <c r="AO125" t="s">
        <v>130</v>
      </c>
      <c r="AP125" t="s">
        <v>300</v>
      </c>
      <c r="AQ125" t="s">
        <v>129</v>
      </c>
      <c r="AR125" t="s">
        <v>299</v>
      </c>
      <c r="AS125" t="s">
        <v>128</v>
      </c>
      <c r="AT125" t="s">
        <v>334</v>
      </c>
    </row>
    <row r="126" spans="1:46" x14ac:dyDescent="0.25">
      <c r="A126" s="32" t="s">
        <v>0</v>
      </c>
      <c r="B126" s="33"/>
      <c r="C126" s="18"/>
      <c r="D126" s="18"/>
      <c r="E126" s="18"/>
      <c r="F126" s="18"/>
      <c r="G126" s="18"/>
      <c r="H126" s="18"/>
      <c r="I126" s="18"/>
      <c r="J126" s="18"/>
      <c r="K126" s="18"/>
      <c r="L126" s="18"/>
      <c r="M126" s="18"/>
      <c r="N126" s="18"/>
      <c r="O126" s="18"/>
      <c r="P126" s="18"/>
      <c r="Q126" s="33" t="s">
        <v>289</v>
      </c>
    </row>
    <row r="127" spans="1:46" x14ac:dyDescent="0.25">
      <c r="A127" s="2">
        <v>1</v>
      </c>
      <c r="B127" s="14" t="s">
        <v>65</v>
      </c>
      <c r="C127" s="14">
        <v>50</v>
      </c>
      <c r="D127" s="14">
        <v>50</v>
      </c>
      <c r="E127" s="14">
        <v>0</v>
      </c>
      <c r="F127" s="14">
        <v>10</v>
      </c>
      <c r="G127" s="14">
        <v>180</v>
      </c>
      <c r="H127" s="14" t="s">
        <v>20</v>
      </c>
      <c r="I127" s="14" t="e">
        <f>Sides</f>
        <v>#NAME?</v>
      </c>
      <c r="J127" s="14">
        <v>0.6</v>
      </c>
      <c r="K127" s="14">
        <v>0.2</v>
      </c>
      <c r="L127" s="14"/>
      <c r="M127" s="14"/>
      <c r="N127" s="14"/>
      <c r="O127" s="14"/>
      <c r="P127" s="14"/>
      <c r="Q127" s="14" t="s">
        <v>296</v>
      </c>
      <c r="S127" s="74" t="s">
        <v>40</v>
      </c>
      <c r="T127" s="3"/>
      <c r="U127" s="5"/>
    </row>
    <row r="128" spans="1:46" x14ac:dyDescent="0.25">
      <c r="A128" s="2">
        <v>2</v>
      </c>
      <c r="B128" s="15" t="s">
        <v>55</v>
      </c>
      <c r="C128" s="15">
        <v>1</v>
      </c>
      <c r="D128" s="15">
        <v>0</v>
      </c>
      <c r="E128" s="15">
        <v>0</v>
      </c>
      <c r="F128" s="15">
        <v>0.2</v>
      </c>
      <c r="G128" s="15" t="e">
        <f>Layers</f>
        <v>#NAME?</v>
      </c>
      <c r="H128" s="15"/>
      <c r="I128" s="15"/>
      <c r="J128" s="15"/>
      <c r="K128" s="15"/>
      <c r="L128" s="15"/>
      <c r="M128" s="15"/>
      <c r="N128" s="15"/>
      <c r="O128" s="15"/>
      <c r="P128" s="15"/>
      <c r="Q128" s="15" t="s">
        <v>297</v>
      </c>
      <c r="S128" s="5" t="s">
        <v>98</v>
      </c>
      <c r="T128" s="5">
        <v>0.2</v>
      </c>
      <c r="U128" s="5" t="s">
        <v>44</v>
      </c>
    </row>
    <row r="129" spans="1:22" x14ac:dyDescent="0.25">
      <c r="A129" s="2">
        <v>3</v>
      </c>
      <c r="B129" s="90" t="s">
        <v>291</v>
      </c>
      <c r="C129" s="10">
        <v>2</v>
      </c>
      <c r="D129" s="10">
        <v>1</v>
      </c>
      <c r="E129" s="10">
        <v>1</v>
      </c>
      <c r="F129" s="10" t="e">
        <f>Layers</f>
        <v>#NAME?</v>
      </c>
      <c r="G129" s="10" t="s">
        <v>138</v>
      </c>
      <c r="H129" s="10">
        <v>0</v>
      </c>
      <c r="I129" s="37" t="s">
        <v>113</v>
      </c>
      <c r="J129" s="37" t="s">
        <v>140</v>
      </c>
      <c r="K129" s="10" t="s">
        <v>118</v>
      </c>
      <c r="L129" s="10" t="s">
        <v>118</v>
      </c>
      <c r="M129" s="10"/>
      <c r="N129" s="10"/>
      <c r="O129" s="10"/>
      <c r="P129" s="10"/>
      <c r="Q129" s="4" t="s">
        <v>301</v>
      </c>
      <c r="S129" s="5" t="s">
        <v>87</v>
      </c>
      <c r="T129" s="5">
        <v>1</v>
      </c>
      <c r="U129" s="5" t="s">
        <v>89</v>
      </c>
    </row>
    <row r="130" spans="1:22" x14ac:dyDescent="0.25">
      <c r="A130" s="2">
        <v>4</v>
      </c>
      <c r="B130" s="10" t="s">
        <v>246</v>
      </c>
      <c r="C130" s="10" t="s">
        <v>22</v>
      </c>
      <c r="D130" s="10" t="s">
        <v>170</v>
      </c>
      <c r="E130" s="10">
        <f>C127</f>
        <v>50</v>
      </c>
      <c r="F130" s="10">
        <f>D127</f>
        <v>50</v>
      </c>
      <c r="G130" s="10">
        <v>0</v>
      </c>
      <c r="H130" s="10">
        <v>0</v>
      </c>
      <c r="I130" s="10" t="s">
        <v>261</v>
      </c>
      <c r="J130" s="10" t="s">
        <v>118</v>
      </c>
      <c r="K130" s="10" t="s">
        <v>118</v>
      </c>
      <c r="L130" s="10"/>
      <c r="M130" s="10"/>
      <c r="N130" s="10"/>
      <c r="O130" s="10"/>
      <c r="P130" s="10"/>
      <c r="Q130" s="4" t="s">
        <v>301</v>
      </c>
      <c r="S130" s="5" t="s">
        <v>88</v>
      </c>
      <c r="T130" s="5">
        <v>1</v>
      </c>
      <c r="U130" s="5" t="s">
        <v>89</v>
      </c>
    </row>
    <row r="131" spans="1:22" x14ac:dyDescent="0.25">
      <c r="A131" s="2">
        <v>5</v>
      </c>
      <c r="B131" s="2"/>
      <c r="C131" s="2"/>
      <c r="D131" s="2"/>
      <c r="E131" s="2"/>
      <c r="F131" s="2"/>
      <c r="G131" s="2"/>
      <c r="H131" s="2"/>
      <c r="I131" s="2"/>
      <c r="J131" s="2"/>
      <c r="K131" s="2"/>
      <c r="L131" s="2"/>
      <c r="M131" s="2"/>
      <c r="N131" s="2"/>
      <c r="O131" s="2"/>
      <c r="P131" s="2"/>
      <c r="Q131" s="2"/>
      <c r="S131" s="5" t="s">
        <v>193</v>
      </c>
      <c r="T131" s="5" t="s">
        <v>204</v>
      </c>
      <c r="U131" s="5"/>
    </row>
    <row r="132" spans="1:22" x14ac:dyDescent="0.25">
      <c r="A132" s="2">
        <v>6</v>
      </c>
      <c r="B132" s="2"/>
      <c r="C132" s="20" t="s">
        <v>335</v>
      </c>
      <c r="D132" s="20"/>
      <c r="E132" s="20"/>
      <c r="F132" s="20"/>
      <c r="G132" s="20"/>
      <c r="H132" s="20"/>
      <c r="I132" s="20"/>
      <c r="J132" s="2"/>
      <c r="K132" s="2"/>
      <c r="L132" s="2"/>
      <c r="M132" s="2"/>
      <c r="N132" s="2"/>
      <c r="O132" s="2"/>
      <c r="P132" s="2"/>
      <c r="Q132" s="2"/>
      <c r="S132" s="5" t="s">
        <v>194</v>
      </c>
      <c r="T132" s="5">
        <v>0</v>
      </c>
      <c r="U132" s="5"/>
    </row>
    <row r="133" spans="1:22" x14ac:dyDescent="0.25">
      <c r="A133" s="2">
        <v>7</v>
      </c>
      <c r="B133" s="2"/>
      <c r="C133" s="2"/>
      <c r="D133" s="2"/>
      <c r="E133" s="2"/>
      <c r="F133" s="2"/>
      <c r="G133" s="2"/>
      <c r="H133" s="2"/>
      <c r="I133" s="2"/>
      <c r="J133" s="2"/>
      <c r="K133" s="2"/>
      <c r="L133" s="2"/>
      <c r="M133" s="2"/>
      <c r="N133" s="2"/>
      <c r="O133" s="2"/>
      <c r="P133" s="2"/>
      <c r="Q133" s="2"/>
      <c r="S133" s="46"/>
      <c r="T133" s="46"/>
      <c r="U133" s="70"/>
    </row>
    <row r="134" spans="1:22" x14ac:dyDescent="0.25">
      <c r="A134" s="2">
        <v>8</v>
      </c>
      <c r="B134" s="2"/>
      <c r="C134" s="2"/>
      <c r="D134" s="2"/>
      <c r="E134" s="2"/>
      <c r="F134" s="2"/>
      <c r="G134" s="2"/>
      <c r="H134" s="2"/>
      <c r="I134" s="2"/>
      <c r="J134" s="2"/>
      <c r="K134" s="2"/>
      <c r="L134" s="2"/>
      <c r="M134" s="2"/>
      <c r="N134" s="2"/>
      <c r="O134" s="2"/>
      <c r="P134" s="2"/>
      <c r="Q134" s="2"/>
      <c r="S134" s="5" t="s">
        <v>338</v>
      </c>
      <c r="T134" s="5">
        <v>60</v>
      </c>
      <c r="U134" s="5" t="s">
        <v>43</v>
      </c>
      <c r="V134" s="1"/>
    </row>
    <row r="135" spans="1:22" x14ac:dyDescent="0.25">
      <c r="A135" s="2">
        <v>9</v>
      </c>
      <c r="B135" s="2"/>
      <c r="C135" s="2"/>
      <c r="D135" s="2"/>
      <c r="E135" s="2"/>
      <c r="F135" s="2"/>
      <c r="G135" s="2"/>
      <c r="H135" s="2"/>
      <c r="I135" s="2"/>
      <c r="J135" s="2"/>
      <c r="K135" s="2"/>
      <c r="L135" s="2"/>
      <c r="M135" s="2"/>
      <c r="N135" s="2"/>
      <c r="O135" s="2"/>
      <c r="P135" s="2"/>
      <c r="Q135" s="2"/>
      <c r="S135" s="5" t="s">
        <v>85</v>
      </c>
      <c r="T135" s="5">
        <v>1000</v>
      </c>
      <c r="U135" s="5" t="s">
        <v>45</v>
      </c>
    </row>
    <row r="136" spans="1:22" x14ac:dyDescent="0.25">
      <c r="A136" s="2">
        <v>10</v>
      </c>
      <c r="B136" s="2"/>
      <c r="C136" s="2"/>
      <c r="D136" s="2"/>
      <c r="E136" s="2"/>
      <c r="F136" s="2"/>
      <c r="G136" s="2"/>
      <c r="H136" s="2"/>
      <c r="I136" s="2"/>
      <c r="J136" s="2"/>
      <c r="K136" s="2"/>
      <c r="L136" s="2"/>
      <c r="M136" s="2"/>
      <c r="N136" s="2"/>
      <c r="O136" s="2"/>
      <c r="P136" s="2"/>
      <c r="Q136" s="2"/>
      <c r="S136" s="5" t="s">
        <v>86</v>
      </c>
      <c r="T136" s="5">
        <v>9000</v>
      </c>
      <c r="U136" s="5" t="s">
        <v>45</v>
      </c>
    </row>
    <row r="137" spans="1:22" x14ac:dyDescent="0.25">
      <c r="A137" s="2">
        <v>11</v>
      </c>
      <c r="B137" s="2"/>
      <c r="C137" s="2"/>
      <c r="D137" s="2"/>
      <c r="E137" s="2"/>
      <c r="F137" s="2"/>
      <c r="G137" s="2"/>
      <c r="H137" s="2"/>
      <c r="I137" s="2"/>
      <c r="J137" s="2"/>
      <c r="K137" s="2"/>
      <c r="L137" s="2"/>
      <c r="M137" s="2"/>
      <c r="N137" s="2"/>
      <c r="O137" s="2"/>
      <c r="P137" s="2"/>
      <c r="Q137" s="2"/>
      <c r="S137" s="5" t="s">
        <v>41</v>
      </c>
      <c r="T137" s="5">
        <v>210</v>
      </c>
      <c r="U137" s="5" t="s">
        <v>43</v>
      </c>
      <c r="V137" s="1"/>
    </row>
    <row r="138" spans="1:22" x14ac:dyDescent="0.25">
      <c r="S138" s="5" t="s">
        <v>42</v>
      </c>
      <c r="T138" s="5">
        <v>2.85</v>
      </c>
      <c r="U138" s="5" t="s">
        <v>44</v>
      </c>
    </row>
    <row r="139" spans="1:22" x14ac:dyDescent="0.25">
      <c r="S139" s="5" t="s">
        <v>46</v>
      </c>
      <c r="T139" s="5" t="s">
        <v>82</v>
      </c>
      <c r="U139" s="5" t="s">
        <v>90</v>
      </c>
    </row>
    <row r="140" spans="1:22" x14ac:dyDescent="0.25">
      <c r="S140" s="5" t="s">
        <v>108</v>
      </c>
      <c r="T140" s="5" t="s">
        <v>153</v>
      </c>
      <c r="U140" s="5"/>
    </row>
    <row r="141" spans="1:22" x14ac:dyDescent="0.25">
      <c r="S141" s="5" t="s">
        <v>152</v>
      </c>
      <c r="T141" s="5" t="s">
        <v>125</v>
      </c>
      <c r="U141" s="5"/>
    </row>
    <row r="142" spans="1:22" x14ac:dyDescent="0.25">
      <c r="S142" s="5" t="s">
        <v>167</v>
      </c>
      <c r="T142" s="5">
        <v>20</v>
      </c>
      <c r="U142" s="5" t="s">
        <v>44</v>
      </c>
    </row>
    <row r="143" spans="1:22" x14ac:dyDescent="0.25">
      <c r="S143" s="5" t="s">
        <v>168</v>
      </c>
      <c r="T143" s="5">
        <v>10</v>
      </c>
      <c r="U143" s="5" t="s">
        <v>44</v>
      </c>
    </row>
    <row r="144" spans="1:22" x14ac:dyDescent="0.25">
      <c r="S144" s="5" t="s">
        <v>169</v>
      </c>
      <c r="T144" s="5">
        <v>0.3</v>
      </c>
      <c r="U144" s="5" t="s">
        <v>44</v>
      </c>
    </row>
    <row r="145" spans="1:46" x14ac:dyDescent="0.25">
      <c r="S145" s="62" t="s">
        <v>339</v>
      </c>
      <c r="T145" s="5">
        <v>0</v>
      </c>
      <c r="U145" s="5"/>
      <c r="V145" s="1"/>
    </row>
    <row r="146" spans="1:46" x14ac:dyDescent="0.25">
      <c r="S146" s="5" t="s">
        <v>154</v>
      </c>
      <c r="T146" s="5" t="s">
        <v>166</v>
      </c>
      <c r="U146" s="5" t="s">
        <v>158</v>
      </c>
    </row>
    <row r="147" spans="1:46" x14ac:dyDescent="0.25">
      <c r="S147" s="5" t="s">
        <v>159</v>
      </c>
      <c r="T147" s="5">
        <v>5</v>
      </c>
      <c r="U147" s="5" t="s">
        <v>44</v>
      </c>
      <c r="V147" s="1"/>
    </row>
    <row r="148" spans="1:46" x14ac:dyDescent="0.25">
      <c r="S148" s="5" t="s">
        <v>160</v>
      </c>
      <c r="T148" s="5">
        <v>7</v>
      </c>
      <c r="U148" s="5" t="s">
        <v>90</v>
      </c>
    </row>
    <row r="149" spans="1:46" x14ac:dyDescent="0.25">
      <c r="S149" s="5" t="s">
        <v>161</v>
      </c>
      <c r="T149" s="5">
        <v>2500</v>
      </c>
      <c r="U149" s="5" t="s">
        <v>45</v>
      </c>
    </row>
    <row r="150" spans="1:46" x14ac:dyDescent="0.25">
      <c r="S150" s="5" t="s">
        <v>162</v>
      </c>
      <c r="T150" s="5">
        <f>-T148</f>
        <v>-7</v>
      </c>
      <c r="U150" s="5" t="s">
        <v>90</v>
      </c>
    </row>
    <row r="151" spans="1:46" x14ac:dyDescent="0.25">
      <c r="S151" s="3" t="s">
        <v>163</v>
      </c>
      <c r="T151" s="3">
        <f>T149</f>
        <v>2500</v>
      </c>
      <c r="U151" s="5" t="s">
        <v>45</v>
      </c>
    </row>
    <row r="152" spans="1:46" x14ac:dyDescent="0.25">
      <c r="S152" s="3" t="s">
        <v>164</v>
      </c>
      <c r="T152" s="3">
        <v>0.2</v>
      </c>
      <c r="U152" s="5" t="s">
        <v>44</v>
      </c>
    </row>
    <row r="153" spans="1:46" x14ac:dyDescent="0.25">
      <c r="S153" s="3" t="s">
        <v>165</v>
      </c>
      <c r="T153" s="3">
        <v>7500</v>
      </c>
      <c r="U153" s="5" t="s">
        <v>45</v>
      </c>
    </row>
    <row r="155" spans="1:46" x14ac:dyDescent="0.25">
      <c r="S155" s="75" t="s">
        <v>292</v>
      </c>
      <c r="T155" s="75" t="s">
        <v>293</v>
      </c>
      <c r="U155" s="76" t="s">
        <v>331</v>
      </c>
    </row>
    <row r="156" spans="1:46" x14ac:dyDescent="0.25">
      <c r="S156" s="59"/>
      <c r="T156" s="59"/>
      <c r="U156" s="71"/>
    </row>
    <row r="157" spans="1:46" x14ac:dyDescent="0.25">
      <c r="S157" s="59" t="s">
        <v>295</v>
      </c>
      <c r="T157" s="59">
        <v>12</v>
      </c>
      <c r="U157" s="71" t="s">
        <v>89</v>
      </c>
    </row>
    <row r="158" spans="1:46" x14ac:dyDescent="0.25">
      <c r="S158" s="59" t="s">
        <v>298</v>
      </c>
      <c r="T158" s="59">
        <v>100</v>
      </c>
      <c r="U158" s="71" t="s">
        <v>89</v>
      </c>
    </row>
    <row r="160" spans="1:46" x14ac:dyDescent="0.25">
      <c r="A160" s="33" t="s">
        <v>129</v>
      </c>
      <c r="B160" s="2" t="s">
        <v>303</v>
      </c>
      <c r="C160" s="33" t="s">
        <v>128</v>
      </c>
      <c r="D160" s="2" t="s">
        <v>334</v>
      </c>
      <c r="AO160" t="s">
        <v>130</v>
      </c>
      <c r="AP160" t="s">
        <v>304</v>
      </c>
      <c r="AQ160" t="s">
        <v>129</v>
      </c>
      <c r="AR160" t="s">
        <v>303</v>
      </c>
      <c r="AS160" t="s">
        <v>128</v>
      </c>
      <c r="AT160" t="s">
        <v>334</v>
      </c>
    </row>
    <row r="161" spans="1:22" x14ac:dyDescent="0.25">
      <c r="A161" s="32" t="s">
        <v>0</v>
      </c>
      <c r="B161" s="33"/>
      <c r="C161" s="18"/>
      <c r="D161" s="18"/>
      <c r="E161" s="18"/>
      <c r="F161" s="18"/>
      <c r="G161" s="18"/>
      <c r="H161" s="18"/>
      <c r="I161" s="18"/>
      <c r="J161" s="18"/>
      <c r="K161" s="18"/>
      <c r="L161" s="18"/>
      <c r="M161" s="18"/>
      <c r="N161" s="18"/>
      <c r="O161" s="18"/>
      <c r="P161" s="18"/>
      <c r="Q161" s="33" t="s">
        <v>289</v>
      </c>
    </row>
    <row r="162" spans="1:22" x14ac:dyDescent="0.25">
      <c r="A162" s="2">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74" t="s">
        <v>40</v>
      </c>
      <c r="T162" s="3"/>
      <c r="U162" s="5"/>
    </row>
    <row r="163" spans="1:22" x14ac:dyDescent="0.25">
      <c r="A163" s="2">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
        <v>4</v>
      </c>
      <c r="B165" s="2"/>
      <c r="C165" s="2"/>
      <c r="D165" s="2"/>
      <c r="E165" s="2"/>
      <c r="F165" s="2"/>
      <c r="G165" s="2"/>
      <c r="H165" s="2"/>
      <c r="I165" s="2"/>
      <c r="J165" s="2"/>
      <c r="K165" s="2"/>
      <c r="L165" s="2"/>
      <c r="M165" s="2"/>
      <c r="N165" s="2"/>
      <c r="O165" s="2"/>
      <c r="P165" s="2"/>
      <c r="Q165" s="2"/>
      <c r="S165" s="5" t="s">
        <v>88</v>
      </c>
      <c r="T165" s="5">
        <v>1</v>
      </c>
      <c r="U165" s="5" t="s">
        <v>89</v>
      </c>
    </row>
    <row r="166" spans="1:22" x14ac:dyDescent="0.25">
      <c r="A166" s="2">
        <v>5</v>
      </c>
      <c r="B166" s="2"/>
      <c r="C166" s="2"/>
      <c r="D166" s="2"/>
      <c r="E166" s="2"/>
      <c r="F166" s="2"/>
      <c r="G166" s="2"/>
      <c r="H166" s="2"/>
      <c r="I166" s="2"/>
      <c r="J166" s="2"/>
      <c r="K166" s="2"/>
      <c r="L166" s="2"/>
      <c r="M166" s="2"/>
      <c r="N166" s="2"/>
      <c r="O166" s="2"/>
      <c r="P166" s="2"/>
      <c r="Q166" s="2"/>
      <c r="S166" s="5" t="s">
        <v>193</v>
      </c>
      <c r="T166" s="5" t="s">
        <v>204</v>
      </c>
      <c r="U166" s="5"/>
    </row>
    <row r="167" spans="1:22" x14ac:dyDescent="0.25">
      <c r="A167" s="2">
        <v>6</v>
      </c>
      <c r="B167" s="2"/>
      <c r="C167" s="2"/>
      <c r="D167" s="2"/>
      <c r="E167" s="2"/>
      <c r="F167" s="2"/>
      <c r="G167" s="2"/>
      <c r="H167" s="2"/>
      <c r="I167" s="2"/>
      <c r="J167" s="2"/>
      <c r="K167" s="2"/>
      <c r="L167" s="2"/>
      <c r="M167" s="2"/>
      <c r="N167" s="2"/>
      <c r="O167" s="2"/>
      <c r="P167" s="2"/>
      <c r="Q167" s="2"/>
      <c r="S167" s="5" t="s">
        <v>194</v>
      </c>
      <c r="T167" s="5">
        <v>0</v>
      </c>
      <c r="U167" s="5"/>
    </row>
    <row r="168" spans="1:22" x14ac:dyDescent="0.25">
      <c r="A168" s="2">
        <v>7</v>
      </c>
      <c r="B168" s="2"/>
      <c r="C168" s="2"/>
      <c r="D168" s="2"/>
      <c r="E168" s="2"/>
      <c r="F168" s="2"/>
      <c r="G168" s="2"/>
      <c r="H168" s="2"/>
      <c r="I168" s="2"/>
      <c r="J168" s="2"/>
      <c r="K168" s="2"/>
      <c r="L168" s="2"/>
      <c r="M168" s="2"/>
      <c r="N168" s="2"/>
      <c r="O168" s="2"/>
      <c r="P168" s="2"/>
      <c r="Q168" s="2"/>
      <c r="S168" s="46"/>
      <c r="T168" s="46"/>
      <c r="U168" s="70"/>
    </row>
    <row r="169" spans="1:22" x14ac:dyDescent="0.25">
      <c r="A169" s="2">
        <v>8</v>
      </c>
      <c r="B169" s="2"/>
      <c r="C169" s="2"/>
      <c r="D169" s="2"/>
      <c r="E169" s="2"/>
      <c r="F169" s="2"/>
      <c r="G169" s="2"/>
      <c r="H169" s="2"/>
      <c r="I169" s="2"/>
      <c r="J169" s="2"/>
      <c r="K169" s="2"/>
      <c r="L169" s="2"/>
      <c r="M169" s="2"/>
      <c r="N169" s="2"/>
      <c r="O169" s="2"/>
      <c r="P169" s="2"/>
      <c r="Q169" s="2"/>
      <c r="S169" s="5" t="s">
        <v>338</v>
      </c>
      <c r="T169" s="5">
        <v>60</v>
      </c>
      <c r="U169" s="5" t="s">
        <v>43</v>
      </c>
      <c r="V169" s="1"/>
    </row>
    <row r="170" spans="1:22" x14ac:dyDescent="0.25">
      <c r="A170" s="2">
        <v>9</v>
      </c>
      <c r="B170" s="2"/>
      <c r="C170" s="2"/>
      <c r="D170" s="2"/>
      <c r="E170" s="2"/>
      <c r="F170" s="2"/>
      <c r="G170" s="2"/>
      <c r="H170" s="2"/>
      <c r="I170" s="2"/>
      <c r="J170" s="2"/>
      <c r="K170" s="2"/>
      <c r="L170" s="2"/>
      <c r="M170" s="2"/>
      <c r="N170" s="2"/>
      <c r="O170" s="2"/>
      <c r="P170" s="2"/>
      <c r="Q170" s="2"/>
      <c r="S170" s="5" t="s">
        <v>85</v>
      </c>
      <c r="T170" s="5">
        <v>1000</v>
      </c>
      <c r="U170" s="5" t="s">
        <v>45</v>
      </c>
    </row>
    <row r="171" spans="1:22" x14ac:dyDescent="0.25">
      <c r="A171" s="2">
        <v>10</v>
      </c>
      <c r="B171" s="2"/>
      <c r="C171" s="2"/>
      <c r="D171" s="2"/>
      <c r="E171" s="2"/>
      <c r="F171" s="2"/>
      <c r="G171" s="2"/>
      <c r="H171" s="2"/>
      <c r="I171" s="2"/>
      <c r="J171" s="2"/>
      <c r="K171" s="2"/>
      <c r="L171" s="2"/>
      <c r="M171" s="2"/>
      <c r="N171" s="2"/>
      <c r="O171" s="2"/>
      <c r="P171" s="2"/>
      <c r="Q171" s="2"/>
      <c r="S171" s="5" t="s">
        <v>86</v>
      </c>
      <c r="T171" s="5">
        <v>9000</v>
      </c>
      <c r="U171" s="5" t="s">
        <v>45</v>
      </c>
    </row>
    <row r="172" spans="1:22" x14ac:dyDescent="0.25">
      <c r="A172" s="2">
        <v>11</v>
      </c>
      <c r="B172" s="2"/>
      <c r="C172" s="2"/>
      <c r="D172" s="2"/>
      <c r="E172" s="2"/>
      <c r="F172" s="2"/>
      <c r="G172" s="2"/>
      <c r="H172" s="2"/>
      <c r="I172" s="2"/>
      <c r="J172" s="2"/>
      <c r="K172" s="2"/>
      <c r="L172" s="2"/>
      <c r="M172" s="2"/>
      <c r="N172" s="2"/>
      <c r="O172" s="2"/>
      <c r="P172" s="2"/>
      <c r="Q172" s="2"/>
      <c r="S172" s="5" t="s">
        <v>41</v>
      </c>
      <c r="T172" s="5">
        <v>210</v>
      </c>
      <c r="U172" s="5" t="s">
        <v>43</v>
      </c>
      <c r="V172" s="1"/>
    </row>
    <row r="173" spans="1:22" x14ac:dyDescent="0.25">
      <c r="S173" s="5" t="s">
        <v>42</v>
      </c>
      <c r="T173" s="5">
        <v>2.85</v>
      </c>
      <c r="U173" s="5" t="s">
        <v>44</v>
      </c>
    </row>
    <row r="174" spans="1:22" x14ac:dyDescent="0.25">
      <c r="S174" s="5" t="s">
        <v>46</v>
      </c>
      <c r="T174" s="5" t="s">
        <v>82</v>
      </c>
      <c r="U174" s="5" t="s">
        <v>90</v>
      </c>
    </row>
    <row r="175" spans="1:22" x14ac:dyDescent="0.25">
      <c r="S175" s="5" t="s">
        <v>108</v>
      </c>
      <c r="T175" s="5" t="s">
        <v>153</v>
      </c>
      <c r="U175" s="5"/>
    </row>
    <row r="176" spans="1:22" x14ac:dyDescent="0.25">
      <c r="S176" s="5" t="s">
        <v>152</v>
      </c>
      <c r="T176" s="5" t="s">
        <v>125</v>
      </c>
      <c r="U176" s="5"/>
    </row>
    <row r="177" spans="19:22" x14ac:dyDescent="0.25">
      <c r="S177" s="5" t="s">
        <v>167</v>
      </c>
      <c r="T177" s="5">
        <v>20</v>
      </c>
      <c r="U177" s="5" t="s">
        <v>44</v>
      </c>
    </row>
    <row r="178" spans="19:22" x14ac:dyDescent="0.25">
      <c r="S178" s="5" t="s">
        <v>168</v>
      </c>
      <c r="T178" s="5">
        <v>10</v>
      </c>
      <c r="U178" s="5" t="s">
        <v>44</v>
      </c>
    </row>
    <row r="179" spans="19:22" x14ac:dyDescent="0.25">
      <c r="S179" s="5" t="s">
        <v>169</v>
      </c>
      <c r="T179" s="5">
        <v>0.3</v>
      </c>
      <c r="U179" s="5" t="s">
        <v>44</v>
      </c>
    </row>
    <row r="180" spans="19:22" x14ac:dyDescent="0.25">
      <c r="S180" s="62" t="s">
        <v>339</v>
      </c>
      <c r="T180" s="5">
        <v>0</v>
      </c>
      <c r="U180" s="5"/>
      <c r="V180" s="1"/>
    </row>
    <row r="181" spans="19:22" x14ac:dyDescent="0.25">
      <c r="S181" s="5" t="s">
        <v>154</v>
      </c>
      <c r="T181" s="5" t="s">
        <v>166</v>
      </c>
      <c r="U181" s="5" t="s">
        <v>158</v>
      </c>
    </row>
    <row r="182" spans="19:22" x14ac:dyDescent="0.25">
      <c r="S182" s="5" t="s">
        <v>159</v>
      </c>
      <c r="T182" s="5">
        <v>5</v>
      </c>
      <c r="U182" s="5" t="s">
        <v>44</v>
      </c>
      <c r="V182" s="1"/>
    </row>
    <row r="183" spans="19:22" x14ac:dyDescent="0.25">
      <c r="S183" s="5" t="s">
        <v>160</v>
      </c>
      <c r="T183" s="5">
        <v>7</v>
      </c>
      <c r="U183" s="5" t="s">
        <v>90</v>
      </c>
    </row>
    <row r="184" spans="19:22" x14ac:dyDescent="0.25">
      <c r="S184" s="5" t="s">
        <v>161</v>
      </c>
      <c r="T184" s="5">
        <v>2500</v>
      </c>
      <c r="U184" s="5" t="s">
        <v>45</v>
      </c>
    </row>
    <row r="185" spans="19:22" x14ac:dyDescent="0.25">
      <c r="S185" s="5" t="s">
        <v>162</v>
      </c>
      <c r="T185" s="5">
        <f>-T183</f>
        <v>-7</v>
      </c>
      <c r="U185" s="5" t="s">
        <v>90</v>
      </c>
    </row>
    <row r="186" spans="19:22" x14ac:dyDescent="0.25">
      <c r="S186" s="3" t="s">
        <v>163</v>
      </c>
      <c r="T186" s="3">
        <f>T184</f>
        <v>2500</v>
      </c>
      <c r="U186" s="5" t="s">
        <v>45</v>
      </c>
    </row>
    <row r="187" spans="19:22" x14ac:dyDescent="0.25">
      <c r="S187" s="3" t="s">
        <v>164</v>
      </c>
      <c r="T187" s="3">
        <v>0.2</v>
      </c>
      <c r="U187" s="5" t="s">
        <v>44</v>
      </c>
    </row>
    <row r="188" spans="19:22" x14ac:dyDescent="0.25">
      <c r="S188" s="3" t="s">
        <v>165</v>
      </c>
      <c r="T188" s="3">
        <v>7500</v>
      </c>
      <c r="U188" s="5" t="s">
        <v>45</v>
      </c>
    </row>
    <row r="190" spans="19:22" x14ac:dyDescent="0.25">
      <c r="S190" s="75" t="s">
        <v>292</v>
      </c>
      <c r="T190" s="75" t="s">
        <v>293</v>
      </c>
      <c r="U190" s="76" t="s">
        <v>331</v>
      </c>
    </row>
    <row r="191" spans="19:22" x14ac:dyDescent="0.25">
      <c r="S191" s="59"/>
      <c r="T191" s="59"/>
      <c r="U191" s="71"/>
    </row>
    <row r="192" spans="19:22" x14ac:dyDescent="0.25">
      <c r="S192" s="59" t="s">
        <v>271</v>
      </c>
      <c r="T192" s="59">
        <v>50</v>
      </c>
      <c r="U192" s="71" t="s">
        <v>44</v>
      </c>
    </row>
    <row r="193" spans="1:46" x14ac:dyDescent="0.25">
      <c r="S193" s="63" t="s">
        <v>272</v>
      </c>
      <c r="T193" s="63">
        <v>50</v>
      </c>
      <c r="U193" s="71" t="s">
        <v>44</v>
      </c>
    </row>
    <row r="195" spans="1:46" x14ac:dyDescent="0.25">
      <c r="A195" s="33" t="s">
        <v>129</v>
      </c>
      <c r="B195" s="2" t="s">
        <v>305</v>
      </c>
      <c r="C195" s="33" t="s">
        <v>128</v>
      </c>
      <c r="D195" s="2" t="s">
        <v>334</v>
      </c>
      <c r="AO195" t="s">
        <v>130</v>
      </c>
      <c r="AP195" t="s">
        <v>306</v>
      </c>
      <c r="AQ195" t="s">
        <v>129</v>
      </c>
      <c r="AR195" t="s">
        <v>305</v>
      </c>
      <c r="AS195" t="s">
        <v>128</v>
      </c>
      <c r="AT195" t="s">
        <v>334</v>
      </c>
    </row>
    <row r="196" spans="1:46" x14ac:dyDescent="0.25">
      <c r="A196" s="32" t="s">
        <v>0</v>
      </c>
      <c r="B196" s="33"/>
      <c r="C196" s="18"/>
      <c r="D196" s="18"/>
      <c r="E196" s="18"/>
      <c r="F196" s="18"/>
      <c r="G196" s="18"/>
      <c r="H196" s="18"/>
      <c r="I196" s="18"/>
      <c r="J196" s="18"/>
      <c r="K196" s="18"/>
      <c r="L196" s="18"/>
      <c r="M196" s="18"/>
      <c r="N196" s="18"/>
      <c r="O196" s="18"/>
      <c r="P196" s="18"/>
      <c r="Q196" s="33" t="s">
        <v>289</v>
      </c>
    </row>
    <row r="197" spans="1:46" x14ac:dyDescent="0.25">
      <c r="A197" s="2">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74" t="s">
        <v>40</v>
      </c>
      <c r="T197" s="3"/>
      <c r="U197" s="5"/>
    </row>
    <row r="198" spans="1:46" x14ac:dyDescent="0.25">
      <c r="A198" s="2">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
        <v>4</v>
      </c>
      <c r="B200" s="14" t="s">
        <v>65</v>
      </c>
      <c r="C200" s="14">
        <v>50</v>
      </c>
      <c r="D200" s="14">
        <v>50</v>
      </c>
      <c r="E200" s="14">
        <v>0</v>
      </c>
      <c r="F200" s="14">
        <v>10</v>
      </c>
      <c r="G200" s="14">
        <v>180</v>
      </c>
      <c r="H200" s="14" t="s">
        <v>20</v>
      </c>
      <c r="I200" s="14" t="e">
        <f>Sides</f>
        <v>#NAME?</v>
      </c>
      <c r="J200" s="14">
        <v>0.6</v>
      </c>
      <c r="K200" s="14">
        <v>0.2</v>
      </c>
      <c r="L200" s="14"/>
      <c r="M200" s="14"/>
      <c r="N200" s="14"/>
      <c r="O200" s="14"/>
      <c r="P200" s="14"/>
      <c r="Q200" s="14" t="s">
        <v>296</v>
      </c>
      <c r="S200" s="5" t="s">
        <v>88</v>
      </c>
      <c r="T200" s="5">
        <v>1</v>
      </c>
      <c r="U200" s="5" t="s">
        <v>89</v>
      </c>
    </row>
    <row r="201" spans="1:46" x14ac:dyDescent="0.25">
      <c r="A201" s="2">
        <v>5</v>
      </c>
      <c r="B201" s="15" t="s">
        <v>55</v>
      </c>
      <c r="C201" s="15">
        <v>4</v>
      </c>
      <c r="D201" s="15">
        <v>0</v>
      </c>
      <c r="E201" s="15">
        <v>0</v>
      </c>
      <c r="F201" s="15">
        <v>0.2</v>
      </c>
      <c r="G201" s="15" t="e">
        <f>Layers</f>
        <v>#NAME?</v>
      </c>
      <c r="H201" s="15"/>
      <c r="I201" s="15"/>
      <c r="J201" s="15"/>
      <c r="K201" s="15"/>
      <c r="L201" s="15"/>
      <c r="M201" s="15"/>
      <c r="N201" s="15"/>
      <c r="O201" s="15"/>
      <c r="P201" s="15"/>
      <c r="Q201" s="15" t="s">
        <v>297</v>
      </c>
      <c r="S201" s="5" t="s">
        <v>193</v>
      </c>
      <c r="T201" s="5" t="s">
        <v>204</v>
      </c>
      <c r="U201" s="5"/>
    </row>
    <row r="202" spans="1:46" x14ac:dyDescent="0.25">
      <c r="A202" s="2">
        <v>6</v>
      </c>
      <c r="B202" s="10" t="s">
        <v>52</v>
      </c>
      <c r="C202" s="10">
        <v>5</v>
      </c>
      <c r="D202" s="10">
        <v>4</v>
      </c>
      <c r="E202" s="10">
        <v>1</v>
      </c>
      <c r="F202" s="10" t="e">
        <f>Layers</f>
        <v>#NAME?</v>
      </c>
      <c r="G202" s="10" t="s">
        <v>138</v>
      </c>
      <c r="H202" s="10">
        <v>0</v>
      </c>
      <c r="I202" s="37" t="s">
        <v>113</v>
      </c>
      <c r="J202" s="37" t="s">
        <v>140</v>
      </c>
      <c r="K202" s="10" t="s">
        <v>118</v>
      </c>
      <c r="L202" s="10" t="s">
        <v>118</v>
      </c>
      <c r="M202" s="10"/>
      <c r="N202" s="10"/>
      <c r="O202" s="10"/>
      <c r="P202" s="10"/>
      <c r="Q202" s="4" t="s">
        <v>329</v>
      </c>
      <c r="S202" s="5" t="s">
        <v>194</v>
      </c>
      <c r="T202" s="5">
        <v>0</v>
      </c>
      <c r="U202" s="5"/>
    </row>
    <row r="203" spans="1:46" x14ac:dyDescent="0.25">
      <c r="A203" s="2">
        <v>7</v>
      </c>
      <c r="B203" s="90" t="s">
        <v>294</v>
      </c>
      <c r="C203" s="10" t="s">
        <v>127</v>
      </c>
      <c r="D203" s="10" t="s">
        <v>170</v>
      </c>
      <c r="E203" s="10">
        <f>C200</f>
        <v>50</v>
      </c>
      <c r="F203" s="10">
        <f>D200</f>
        <v>50</v>
      </c>
      <c r="G203" s="10">
        <v>0</v>
      </c>
      <c r="H203" s="10">
        <v>0</v>
      </c>
      <c r="I203" s="10" t="s">
        <v>261</v>
      </c>
      <c r="J203" s="10" t="s">
        <v>118</v>
      </c>
      <c r="K203" s="10" t="s">
        <v>118</v>
      </c>
      <c r="L203" s="10"/>
      <c r="M203" s="10"/>
      <c r="N203" s="10"/>
      <c r="O203" s="10"/>
      <c r="P203" s="10"/>
      <c r="Q203" s="4" t="s">
        <v>329</v>
      </c>
      <c r="S203" s="46"/>
      <c r="T203" s="46"/>
      <c r="U203" s="70"/>
    </row>
    <row r="204" spans="1:46" x14ac:dyDescent="0.25">
      <c r="A204" s="2">
        <v>8</v>
      </c>
      <c r="B204" s="2"/>
      <c r="C204" s="2"/>
      <c r="D204" s="2"/>
      <c r="E204" s="2"/>
      <c r="F204" s="2"/>
      <c r="G204" s="2"/>
      <c r="H204" s="2"/>
      <c r="I204" s="2"/>
      <c r="J204" s="2"/>
      <c r="K204" s="2"/>
      <c r="L204" s="2"/>
      <c r="M204" s="2"/>
      <c r="N204" s="2"/>
      <c r="O204" s="2"/>
      <c r="P204" s="2"/>
      <c r="Q204" s="2"/>
      <c r="S204" s="5" t="s">
        <v>338</v>
      </c>
      <c r="T204" s="5">
        <v>60</v>
      </c>
      <c r="U204" s="5" t="s">
        <v>43</v>
      </c>
      <c r="V204" s="1"/>
    </row>
    <row r="205" spans="1:46" x14ac:dyDescent="0.25">
      <c r="A205" s="2">
        <v>9</v>
      </c>
      <c r="B205" s="2"/>
      <c r="C205" s="20" t="s">
        <v>328</v>
      </c>
      <c r="D205" s="20"/>
      <c r="E205" s="20"/>
      <c r="F205" s="20"/>
      <c r="G205" s="20"/>
      <c r="H205" s="20"/>
      <c r="I205" s="20"/>
      <c r="J205" s="2"/>
      <c r="K205" s="2"/>
      <c r="L205" s="2"/>
      <c r="M205" s="2"/>
      <c r="N205" s="2"/>
      <c r="O205" s="2"/>
      <c r="P205" s="2"/>
      <c r="Q205" s="2"/>
      <c r="S205" s="5" t="s">
        <v>85</v>
      </c>
      <c r="T205" s="5">
        <v>1000</v>
      </c>
      <c r="U205" s="5" t="s">
        <v>45</v>
      </c>
    </row>
    <row r="206" spans="1:46" x14ac:dyDescent="0.25">
      <c r="A206" s="2">
        <v>10</v>
      </c>
      <c r="B206" s="2"/>
      <c r="C206" s="2"/>
      <c r="D206" s="2"/>
      <c r="E206" s="2"/>
      <c r="F206" s="2"/>
      <c r="G206" s="2"/>
      <c r="H206" s="2"/>
      <c r="I206" s="2"/>
      <c r="J206" s="2"/>
      <c r="K206" s="2"/>
      <c r="L206" s="2"/>
      <c r="M206" s="2"/>
      <c r="N206" s="2"/>
      <c r="O206" s="2"/>
      <c r="P206" s="2"/>
      <c r="Q206" s="2"/>
      <c r="S206" s="5" t="s">
        <v>86</v>
      </c>
      <c r="T206" s="5">
        <v>9000</v>
      </c>
      <c r="U206" s="5" t="s">
        <v>45</v>
      </c>
    </row>
    <row r="207" spans="1:46" x14ac:dyDescent="0.25">
      <c r="A207" s="2">
        <v>11</v>
      </c>
      <c r="B207" s="2"/>
      <c r="C207" s="2"/>
      <c r="D207" s="2"/>
      <c r="E207" s="2"/>
      <c r="F207" s="2"/>
      <c r="G207" s="2"/>
      <c r="H207" s="2"/>
      <c r="I207" s="2"/>
      <c r="J207" s="2"/>
      <c r="K207" s="2"/>
      <c r="L207" s="2"/>
      <c r="M207" s="2"/>
      <c r="N207" s="2"/>
      <c r="O207" s="2"/>
      <c r="P207" s="2"/>
      <c r="Q207" s="2"/>
      <c r="S207" s="5" t="s">
        <v>41</v>
      </c>
      <c r="T207" s="5">
        <v>210</v>
      </c>
      <c r="U207" s="5" t="s">
        <v>43</v>
      </c>
      <c r="V207" s="1"/>
    </row>
    <row r="208" spans="1:46" x14ac:dyDescent="0.25">
      <c r="S208" s="5" t="s">
        <v>42</v>
      </c>
      <c r="T208" s="5">
        <v>2.85</v>
      </c>
      <c r="U208" s="5" t="s">
        <v>44</v>
      </c>
    </row>
    <row r="209" spans="19:22" x14ac:dyDescent="0.25">
      <c r="S209" s="5" t="s">
        <v>46</v>
      </c>
      <c r="T209" s="5" t="s">
        <v>82</v>
      </c>
      <c r="U209" s="5" t="s">
        <v>90</v>
      </c>
    </row>
    <row r="210" spans="19:22" x14ac:dyDescent="0.25">
      <c r="S210" s="5" t="s">
        <v>108</v>
      </c>
      <c r="T210" s="5" t="s">
        <v>153</v>
      </c>
      <c r="U210" s="5"/>
    </row>
    <row r="211" spans="19:22" x14ac:dyDescent="0.25">
      <c r="S211" s="5" t="s">
        <v>152</v>
      </c>
      <c r="T211" s="5" t="s">
        <v>125</v>
      </c>
      <c r="U211" s="5"/>
    </row>
    <row r="212" spans="19:22" x14ac:dyDescent="0.25">
      <c r="S212" s="5" t="s">
        <v>167</v>
      </c>
      <c r="T212" s="5">
        <v>20</v>
      </c>
      <c r="U212" s="5" t="s">
        <v>44</v>
      </c>
    </row>
    <row r="213" spans="19:22" x14ac:dyDescent="0.25">
      <c r="S213" s="5" t="s">
        <v>168</v>
      </c>
      <c r="T213" s="5">
        <v>10</v>
      </c>
      <c r="U213" s="5" t="s">
        <v>44</v>
      </c>
    </row>
    <row r="214" spans="19:22" x14ac:dyDescent="0.25">
      <c r="S214" s="5" t="s">
        <v>169</v>
      </c>
      <c r="T214" s="5">
        <v>0.3</v>
      </c>
      <c r="U214" s="5" t="s">
        <v>44</v>
      </c>
    </row>
    <row r="215" spans="19:22" x14ac:dyDescent="0.25">
      <c r="S215" s="62" t="s">
        <v>339</v>
      </c>
      <c r="T215" s="5">
        <v>0</v>
      </c>
      <c r="U215" s="5"/>
      <c r="V215" s="1"/>
    </row>
    <row r="216" spans="19:22" x14ac:dyDescent="0.25">
      <c r="S216" s="5" t="s">
        <v>154</v>
      </c>
      <c r="T216" s="5" t="s">
        <v>166</v>
      </c>
      <c r="U216" s="5" t="s">
        <v>158</v>
      </c>
    </row>
    <row r="217" spans="19:22" x14ac:dyDescent="0.25">
      <c r="S217" s="5" t="s">
        <v>159</v>
      </c>
      <c r="T217" s="5">
        <v>5</v>
      </c>
      <c r="U217" s="5" t="s">
        <v>44</v>
      </c>
      <c r="V217" s="1"/>
    </row>
    <row r="218" spans="19:22" x14ac:dyDescent="0.25">
      <c r="S218" s="5" t="s">
        <v>160</v>
      </c>
      <c r="T218" s="5">
        <v>7</v>
      </c>
      <c r="U218" s="5" t="s">
        <v>90</v>
      </c>
    </row>
    <row r="219" spans="19:22" x14ac:dyDescent="0.25">
      <c r="S219" s="5" t="s">
        <v>161</v>
      </c>
      <c r="T219" s="5">
        <v>2500</v>
      </c>
      <c r="U219" s="5" t="s">
        <v>45</v>
      </c>
    </row>
    <row r="220" spans="19:22" x14ac:dyDescent="0.25">
      <c r="S220" s="5" t="s">
        <v>162</v>
      </c>
      <c r="T220" s="5">
        <f>-T218</f>
        <v>-7</v>
      </c>
      <c r="U220" s="5" t="s">
        <v>90</v>
      </c>
    </row>
    <row r="221" spans="19:22" x14ac:dyDescent="0.25">
      <c r="S221" s="3" t="s">
        <v>163</v>
      </c>
      <c r="T221" s="3">
        <f>T219</f>
        <v>2500</v>
      </c>
      <c r="U221" s="5" t="s">
        <v>45</v>
      </c>
    </row>
    <row r="222" spans="19:22" x14ac:dyDescent="0.25">
      <c r="S222" s="3" t="s">
        <v>164</v>
      </c>
      <c r="T222" s="3">
        <v>0.2</v>
      </c>
      <c r="U222" s="5" t="s">
        <v>44</v>
      </c>
    </row>
    <row r="223" spans="19:22" x14ac:dyDescent="0.25">
      <c r="S223" s="3" t="s">
        <v>165</v>
      </c>
      <c r="T223" s="3">
        <v>7500</v>
      </c>
      <c r="U223" s="5" t="s">
        <v>45</v>
      </c>
    </row>
    <row r="225" spans="1:46" x14ac:dyDescent="0.25">
      <c r="S225" s="75" t="s">
        <v>292</v>
      </c>
      <c r="T225" s="75" t="s">
        <v>293</v>
      </c>
      <c r="U225" s="76" t="s">
        <v>331</v>
      </c>
    </row>
    <row r="226" spans="1:46" x14ac:dyDescent="0.25">
      <c r="S226" s="59"/>
      <c r="T226" s="59"/>
      <c r="U226" s="71"/>
    </row>
    <row r="227" spans="1:46" x14ac:dyDescent="0.25">
      <c r="S227" s="59" t="s">
        <v>295</v>
      </c>
      <c r="T227" s="59">
        <v>12</v>
      </c>
      <c r="U227" s="71" t="s">
        <v>89</v>
      </c>
    </row>
    <row r="228" spans="1:46" x14ac:dyDescent="0.25">
      <c r="S228" s="59" t="s">
        <v>298</v>
      </c>
      <c r="T228" s="59">
        <v>100</v>
      </c>
      <c r="U228" s="71" t="s">
        <v>89</v>
      </c>
    </row>
    <row r="230" spans="1:46" x14ac:dyDescent="0.25">
      <c r="A230" s="33" t="s">
        <v>129</v>
      </c>
      <c r="B230" s="2" t="s">
        <v>387</v>
      </c>
      <c r="C230" s="33" t="s">
        <v>128</v>
      </c>
      <c r="D230" s="2" t="s">
        <v>334</v>
      </c>
      <c r="AO230" t="s">
        <v>130</v>
      </c>
      <c r="AP230" t="s">
        <v>388</v>
      </c>
      <c r="AQ230" t="s">
        <v>129</v>
      </c>
      <c r="AR230" t="s">
        <v>387</v>
      </c>
      <c r="AS230" t="s">
        <v>128</v>
      </c>
      <c r="AT230" t="s">
        <v>334</v>
      </c>
    </row>
    <row r="231" spans="1:46" x14ac:dyDescent="0.25">
      <c r="A231" s="32" t="s">
        <v>0</v>
      </c>
      <c r="B231" s="33"/>
      <c r="C231" s="18"/>
      <c r="D231" s="18"/>
      <c r="E231" s="18"/>
      <c r="F231" s="18"/>
      <c r="G231" s="18"/>
      <c r="H231" s="18"/>
      <c r="I231" s="18"/>
      <c r="J231" s="18"/>
      <c r="K231" s="18"/>
      <c r="L231" s="18"/>
      <c r="M231" s="18"/>
      <c r="N231" s="18"/>
      <c r="O231" s="18"/>
      <c r="P231" s="18"/>
      <c r="Q231" s="33" t="s">
        <v>289</v>
      </c>
    </row>
    <row r="232" spans="1:46" x14ac:dyDescent="0.25">
      <c r="A232" s="2">
        <v>1</v>
      </c>
      <c r="B232" s="2"/>
      <c r="C232" s="2"/>
      <c r="D232" s="2"/>
      <c r="E232" s="2"/>
      <c r="F232" s="2"/>
      <c r="G232" s="2"/>
      <c r="H232" s="2"/>
      <c r="I232" s="2"/>
      <c r="J232" s="2"/>
      <c r="K232" s="2"/>
      <c r="L232" s="2"/>
      <c r="M232" s="2"/>
      <c r="N232" s="2"/>
      <c r="O232" s="2"/>
      <c r="P232" s="2"/>
      <c r="Q232" s="2"/>
      <c r="S232" s="74" t="s">
        <v>40</v>
      </c>
      <c r="T232" s="3"/>
      <c r="U232" s="5"/>
    </row>
    <row r="233" spans="1:46" x14ac:dyDescent="0.25">
      <c r="A233" s="2">
        <v>2</v>
      </c>
      <c r="B233" s="2"/>
      <c r="C233" s="2"/>
      <c r="D233" s="2"/>
      <c r="E233" s="2"/>
      <c r="F233" s="2"/>
      <c r="G233" s="2"/>
      <c r="H233" s="2"/>
      <c r="I233" s="2"/>
      <c r="J233" s="2"/>
      <c r="K233" s="2"/>
      <c r="L233" s="2"/>
      <c r="M233" s="2"/>
      <c r="N233" s="2"/>
      <c r="O233" s="2"/>
      <c r="P233" s="2"/>
      <c r="Q233" s="2"/>
      <c r="S233" s="5" t="s">
        <v>98</v>
      </c>
      <c r="T233" s="5">
        <v>0.2</v>
      </c>
      <c r="U233" s="5" t="s">
        <v>44</v>
      </c>
    </row>
    <row r="234" spans="1:46" x14ac:dyDescent="0.25">
      <c r="A234" s="2">
        <v>3</v>
      </c>
      <c r="B234" s="2"/>
      <c r="C234" s="2"/>
      <c r="D234" s="2"/>
      <c r="E234" s="2"/>
      <c r="F234" s="2"/>
      <c r="G234" s="2"/>
      <c r="H234" s="2"/>
      <c r="I234" s="2"/>
      <c r="J234" s="2"/>
      <c r="K234" s="2"/>
      <c r="L234" s="2"/>
      <c r="M234" s="2"/>
      <c r="N234" s="2"/>
      <c r="O234" s="2"/>
      <c r="P234" s="2"/>
      <c r="Q234" s="2"/>
      <c r="S234" s="5" t="s">
        <v>87</v>
      </c>
      <c r="T234" s="5">
        <v>1</v>
      </c>
      <c r="U234" s="5" t="s">
        <v>89</v>
      </c>
    </row>
    <row r="235" spans="1:46" x14ac:dyDescent="0.25">
      <c r="A235" s="2">
        <v>4</v>
      </c>
      <c r="B235" s="2"/>
      <c r="C235" s="2"/>
      <c r="D235" s="2"/>
      <c r="E235" s="2"/>
      <c r="F235" s="2"/>
      <c r="G235" s="2"/>
      <c r="H235" s="2"/>
      <c r="I235" s="2"/>
      <c r="J235" s="2"/>
      <c r="K235" s="2"/>
      <c r="L235" s="2"/>
      <c r="M235" s="2"/>
      <c r="N235" s="2"/>
      <c r="O235" s="2"/>
      <c r="P235" s="2"/>
      <c r="Q235" s="2"/>
      <c r="S235" s="5" t="s">
        <v>88</v>
      </c>
      <c r="T235" s="5">
        <v>1</v>
      </c>
      <c r="U235" s="5" t="s">
        <v>89</v>
      </c>
    </row>
    <row r="236" spans="1:46" x14ac:dyDescent="0.25">
      <c r="A236" s="2">
        <v>5</v>
      </c>
      <c r="B236" s="2"/>
      <c r="C236" s="2"/>
      <c r="D236" s="2"/>
      <c r="E236" s="2"/>
      <c r="F236" s="2"/>
      <c r="G236" s="2"/>
      <c r="H236" s="2"/>
      <c r="I236" s="2"/>
      <c r="J236" s="2"/>
      <c r="K236" s="2"/>
      <c r="L236" s="2"/>
      <c r="M236" s="2"/>
      <c r="N236" s="2"/>
      <c r="O236" s="2"/>
      <c r="P236" s="2"/>
      <c r="Q236" s="2"/>
      <c r="S236" s="5" t="s">
        <v>193</v>
      </c>
      <c r="T236" s="5" t="s">
        <v>204</v>
      </c>
      <c r="U236" s="5"/>
    </row>
    <row r="237" spans="1:46" x14ac:dyDescent="0.25">
      <c r="A237" s="2">
        <v>6</v>
      </c>
      <c r="B237" s="2"/>
      <c r="C237" s="2"/>
      <c r="D237" s="2"/>
      <c r="E237" s="2"/>
      <c r="F237" s="2"/>
      <c r="G237" s="2"/>
      <c r="H237" s="2"/>
      <c r="I237" s="2"/>
      <c r="J237" s="2"/>
      <c r="K237" s="2"/>
      <c r="L237" s="2"/>
      <c r="M237" s="2"/>
      <c r="N237" s="2"/>
      <c r="O237" s="2"/>
      <c r="P237" s="2"/>
      <c r="Q237" s="2"/>
      <c r="S237" s="5" t="s">
        <v>194</v>
      </c>
      <c r="T237" s="5">
        <v>0</v>
      </c>
      <c r="U237" s="5"/>
    </row>
    <row r="238" spans="1:46" x14ac:dyDescent="0.25">
      <c r="A238" s="2">
        <v>7</v>
      </c>
      <c r="B238" s="2"/>
      <c r="C238" s="2"/>
      <c r="D238" s="2"/>
      <c r="E238" s="2"/>
      <c r="F238" s="2"/>
      <c r="G238" s="2"/>
      <c r="H238" s="2"/>
      <c r="I238" s="2"/>
      <c r="J238" s="2"/>
      <c r="K238" s="2"/>
      <c r="L238" s="2"/>
      <c r="M238" s="2"/>
      <c r="N238" s="2"/>
      <c r="O238" s="2"/>
      <c r="P238" s="2"/>
      <c r="Q238" s="2"/>
      <c r="S238" s="46"/>
      <c r="T238" s="46"/>
      <c r="U238" s="70"/>
    </row>
    <row r="239" spans="1:46" x14ac:dyDescent="0.25">
      <c r="A239" s="2">
        <v>8</v>
      </c>
      <c r="B239" s="2"/>
      <c r="C239" s="2"/>
      <c r="D239" s="2"/>
      <c r="E239" s="2"/>
      <c r="F239" s="2"/>
      <c r="G239" s="2"/>
      <c r="H239" s="2"/>
      <c r="I239" s="2"/>
      <c r="J239" s="2"/>
      <c r="K239" s="2"/>
      <c r="L239" s="2"/>
      <c r="M239" s="2"/>
      <c r="N239" s="2"/>
      <c r="O239" s="2"/>
      <c r="P239" s="2"/>
      <c r="Q239" s="2"/>
      <c r="S239" s="5" t="s">
        <v>338</v>
      </c>
      <c r="T239" s="5">
        <v>60</v>
      </c>
      <c r="U239" s="5" t="s">
        <v>43</v>
      </c>
      <c r="V239" s="1"/>
    </row>
    <row r="240" spans="1:46" x14ac:dyDescent="0.25">
      <c r="A240" s="2">
        <v>9</v>
      </c>
      <c r="B240" s="2"/>
      <c r="C240" s="2"/>
      <c r="D240" s="2"/>
      <c r="E240" s="2"/>
      <c r="F240" s="2"/>
      <c r="G240" s="2"/>
      <c r="H240" s="2"/>
      <c r="I240" s="2"/>
      <c r="J240" s="2"/>
      <c r="K240" s="2"/>
      <c r="L240" s="2"/>
      <c r="M240" s="2"/>
      <c r="N240" s="2"/>
      <c r="O240" s="2"/>
      <c r="P240" s="2"/>
      <c r="Q240" s="2"/>
      <c r="S240" s="5" t="s">
        <v>85</v>
      </c>
      <c r="T240" s="5">
        <v>1000</v>
      </c>
      <c r="U240" s="5" t="s">
        <v>45</v>
      </c>
    </row>
    <row r="241" spans="1:22" x14ac:dyDescent="0.25">
      <c r="A241" s="2">
        <v>10</v>
      </c>
      <c r="B241" s="2"/>
      <c r="C241" s="2"/>
      <c r="D241" s="2"/>
      <c r="E241" s="2"/>
      <c r="F241" s="2"/>
      <c r="G241" s="2"/>
      <c r="H241" s="2"/>
      <c r="I241" s="2"/>
      <c r="J241" s="2"/>
      <c r="K241" s="2"/>
      <c r="L241" s="2"/>
      <c r="M241" s="2"/>
      <c r="N241" s="2"/>
      <c r="O241" s="2"/>
      <c r="P241" s="2"/>
      <c r="Q241" s="2"/>
      <c r="S241" s="5" t="s">
        <v>86</v>
      </c>
      <c r="T241" s="5">
        <v>9000</v>
      </c>
      <c r="U241" s="5" t="s">
        <v>45</v>
      </c>
    </row>
    <row r="242" spans="1:22" x14ac:dyDescent="0.25">
      <c r="A242" s="2">
        <v>11</v>
      </c>
      <c r="B242" s="2"/>
      <c r="C242" s="2"/>
      <c r="D242" s="2"/>
      <c r="E242" s="2"/>
      <c r="F242" s="2"/>
      <c r="G242" s="2"/>
      <c r="H242" s="2"/>
      <c r="I242" s="2"/>
      <c r="J242" s="2"/>
      <c r="K242" s="2"/>
      <c r="L242" s="2"/>
      <c r="M242" s="2"/>
      <c r="N242" s="2"/>
      <c r="O242" s="2"/>
      <c r="P242" s="2"/>
      <c r="Q242" s="2"/>
      <c r="S242" s="5" t="s">
        <v>41</v>
      </c>
      <c r="T242" s="5">
        <v>210</v>
      </c>
      <c r="U242" s="5" t="s">
        <v>43</v>
      </c>
      <c r="V242" s="1"/>
    </row>
    <row r="243" spans="1:22" x14ac:dyDescent="0.25">
      <c r="S243" s="5" t="s">
        <v>42</v>
      </c>
      <c r="T243" s="5">
        <v>2.85</v>
      </c>
      <c r="U243" s="5" t="s">
        <v>44</v>
      </c>
    </row>
    <row r="244" spans="1:22" x14ac:dyDescent="0.25">
      <c r="S244" s="5" t="s">
        <v>46</v>
      </c>
      <c r="T244" s="5" t="s">
        <v>82</v>
      </c>
      <c r="U244" s="5" t="s">
        <v>90</v>
      </c>
    </row>
    <row r="245" spans="1:22" x14ac:dyDescent="0.25">
      <c r="S245" s="5" t="s">
        <v>108</v>
      </c>
      <c r="T245" s="5" t="s">
        <v>153</v>
      </c>
      <c r="U245" s="5"/>
    </row>
    <row r="246" spans="1:22" x14ac:dyDescent="0.25">
      <c r="S246" s="5" t="s">
        <v>152</v>
      </c>
      <c r="T246" s="5" t="s">
        <v>125</v>
      </c>
      <c r="U246" s="5"/>
    </row>
    <row r="247" spans="1:22" x14ac:dyDescent="0.25">
      <c r="S247" s="5" t="s">
        <v>167</v>
      </c>
      <c r="T247" s="5">
        <v>20</v>
      </c>
      <c r="U247" s="5" t="s">
        <v>44</v>
      </c>
    </row>
    <row r="248" spans="1:22" x14ac:dyDescent="0.25">
      <c r="S248" s="5" t="s">
        <v>168</v>
      </c>
      <c r="T248" s="5">
        <v>10</v>
      </c>
      <c r="U248" s="5" t="s">
        <v>44</v>
      </c>
    </row>
    <row r="249" spans="1:22" x14ac:dyDescent="0.25">
      <c r="S249" s="5" t="s">
        <v>169</v>
      </c>
      <c r="T249" s="5">
        <v>0.3</v>
      </c>
      <c r="U249" s="5" t="s">
        <v>44</v>
      </c>
    </row>
    <row r="250" spans="1:22" x14ac:dyDescent="0.25">
      <c r="S250" s="62" t="s">
        <v>339</v>
      </c>
      <c r="T250" s="5">
        <v>0</v>
      </c>
      <c r="U250" s="5"/>
      <c r="V250" s="1"/>
    </row>
    <row r="251" spans="1:22" x14ac:dyDescent="0.25">
      <c r="S251" s="5" t="s">
        <v>154</v>
      </c>
      <c r="T251" s="5" t="s">
        <v>166</v>
      </c>
      <c r="U251" s="5" t="s">
        <v>158</v>
      </c>
    </row>
    <row r="252" spans="1:22" x14ac:dyDescent="0.25">
      <c r="S252" s="5" t="s">
        <v>159</v>
      </c>
      <c r="T252" s="5">
        <v>5</v>
      </c>
      <c r="U252" s="5" t="s">
        <v>44</v>
      </c>
      <c r="V252" s="1"/>
    </row>
    <row r="253" spans="1:22" x14ac:dyDescent="0.25">
      <c r="S253" s="5" t="s">
        <v>160</v>
      </c>
      <c r="T253" s="5">
        <v>7</v>
      </c>
      <c r="U253" s="5" t="s">
        <v>90</v>
      </c>
    </row>
    <row r="254" spans="1:22" x14ac:dyDescent="0.25">
      <c r="S254" s="5" t="s">
        <v>161</v>
      </c>
      <c r="T254" s="5">
        <v>2500</v>
      </c>
      <c r="U254" s="5" t="s">
        <v>45</v>
      </c>
    </row>
    <row r="255" spans="1:22" x14ac:dyDescent="0.25">
      <c r="S255" s="5" t="s">
        <v>162</v>
      </c>
      <c r="T255" s="5">
        <f>-T253</f>
        <v>-7</v>
      </c>
      <c r="U255" s="5" t="s">
        <v>90</v>
      </c>
    </row>
    <row r="256" spans="1:22" x14ac:dyDescent="0.25">
      <c r="S256" s="3" t="s">
        <v>163</v>
      </c>
      <c r="T256" s="3">
        <f>T254</f>
        <v>2500</v>
      </c>
      <c r="U256" s="5" t="s">
        <v>45</v>
      </c>
    </row>
    <row r="257" spans="19:21" x14ac:dyDescent="0.25">
      <c r="S257" s="3" t="s">
        <v>164</v>
      </c>
      <c r="T257" s="3">
        <v>0.2</v>
      </c>
      <c r="U257" s="5" t="s">
        <v>44</v>
      </c>
    </row>
    <row r="258" spans="19:21" x14ac:dyDescent="0.25">
      <c r="S258" s="3" t="s">
        <v>165</v>
      </c>
      <c r="T258" s="3">
        <v>7500</v>
      </c>
      <c r="U258" s="5" t="s">
        <v>45</v>
      </c>
    </row>
    <row r="260" spans="19:21" x14ac:dyDescent="0.25">
      <c r="S260" s="75" t="s">
        <v>292</v>
      </c>
      <c r="T260" s="75" t="s">
        <v>293</v>
      </c>
      <c r="U260" s="76" t="s">
        <v>331</v>
      </c>
    </row>
    <row r="261" spans="19:21" x14ac:dyDescent="0.25">
      <c r="S261" s="59"/>
      <c r="T261" s="59"/>
      <c r="U261" s="71"/>
    </row>
    <row r="262" spans="19:21" x14ac:dyDescent="0.25">
      <c r="S262" s="59" t="s">
        <v>309</v>
      </c>
      <c r="T262" s="59">
        <v>0.2</v>
      </c>
      <c r="U262" s="71" t="s">
        <v>44</v>
      </c>
    </row>
    <row r="263" spans="19:21" x14ac:dyDescent="0.25">
      <c r="S263" s="59" t="s">
        <v>307</v>
      </c>
      <c r="T263" s="59">
        <v>1</v>
      </c>
      <c r="U263" s="71" t="s">
        <v>44</v>
      </c>
    </row>
    <row r="264" spans="19:21" x14ac:dyDescent="0.25">
      <c r="S264" s="59" t="s">
        <v>308</v>
      </c>
      <c r="T264" s="59">
        <v>0.5</v>
      </c>
      <c r="U264" s="71" t="s">
        <v>44</v>
      </c>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55" customWidth="1"/>
    <col min="3" max="3" width="19" style="48" customWidth="1"/>
    <col min="4" max="4" width="9.140625" style="48"/>
    <col min="5" max="5" width="16.7109375" style="48" customWidth="1"/>
    <col min="6" max="16384" width="9.140625" style="48"/>
  </cols>
  <sheetData>
    <row r="1" spans="1:17" ht="16.350000000000001" customHeight="1" x14ac:dyDescent="0.25">
      <c r="A1" s="55" t="s">
        <v>266</v>
      </c>
      <c r="B1" s="55" t="s">
        <v>269</v>
      </c>
      <c r="C1" s="55" t="s">
        <v>267</v>
      </c>
      <c r="D1" s="48" t="s">
        <v>268</v>
      </c>
    </row>
    <row r="2" spans="1:17" ht="16.350000000000001" customHeight="1" x14ac:dyDescent="0.25">
      <c r="A2" s="55">
        <v>1</v>
      </c>
      <c r="B2" s="55">
        <v>1</v>
      </c>
      <c r="C2" s="48">
        <v>1</v>
      </c>
      <c r="D2" s="48" t="s">
        <v>1</v>
      </c>
      <c r="E2" s="48" t="s">
        <v>18</v>
      </c>
      <c r="F2" s="48">
        <v>100</v>
      </c>
      <c r="G2" s="48">
        <v>155</v>
      </c>
      <c r="H2" s="48">
        <v>0</v>
      </c>
      <c r="I2" s="48" t="s">
        <v>765</v>
      </c>
      <c r="J2" s="48" t="s">
        <v>100</v>
      </c>
      <c r="K2" s="48" t="s">
        <v>100</v>
      </c>
      <c r="L2" s="48" t="s">
        <v>19</v>
      </c>
      <c r="M2" s="48">
        <v>3.75</v>
      </c>
      <c r="N2" s="48">
        <v>2.8</v>
      </c>
      <c r="Q2" s="56"/>
    </row>
    <row r="3" spans="1:17" ht="16.350000000000001" customHeight="1" x14ac:dyDescent="0.25">
      <c r="A3" s="55">
        <v>2</v>
      </c>
      <c r="B3" s="55">
        <v>2</v>
      </c>
      <c r="C3" s="48">
        <v>2</v>
      </c>
      <c r="D3" s="48" t="s">
        <v>1</v>
      </c>
      <c r="E3" s="48" t="s">
        <v>18</v>
      </c>
      <c r="F3" s="48" t="s">
        <v>100</v>
      </c>
      <c r="G3" s="48" t="s">
        <v>100</v>
      </c>
      <c r="H3" s="48" t="s">
        <v>100</v>
      </c>
      <c r="I3" s="48">
        <v>275</v>
      </c>
      <c r="J3" s="48">
        <v>135</v>
      </c>
      <c r="K3" s="48" t="s">
        <v>100</v>
      </c>
      <c r="L3" s="48" t="s">
        <v>19</v>
      </c>
      <c r="M3" s="48">
        <v>3.75</v>
      </c>
      <c r="N3" s="48">
        <v>2.8</v>
      </c>
      <c r="P3" s="56"/>
      <c r="Q3" s="56"/>
    </row>
    <row r="4" spans="1:17" ht="16.350000000000001" customHeight="1" x14ac:dyDescent="0.25">
      <c r="A4" s="55">
        <v>3</v>
      </c>
      <c r="B4" s="55">
        <v>3</v>
      </c>
      <c r="C4" s="48">
        <v>3</v>
      </c>
      <c r="D4" s="48" t="s">
        <v>1</v>
      </c>
      <c r="E4" s="48" t="s">
        <v>18</v>
      </c>
      <c r="F4" s="48" t="s">
        <v>100</v>
      </c>
      <c r="G4" s="48" t="s">
        <v>100</v>
      </c>
      <c r="H4" s="48" t="s">
        <v>100</v>
      </c>
      <c r="I4" s="48" t="s">
        <v>744</v>
      </c>
      <c r="J4" s="48" t="s">
        <v>100</v>
      </c>
      <c r="K4" s="48" t="s">
        <v>100</v>
      </c>
      <c r="L4" s="48" t="s">
        <v>19</v>
      </c>
      <c r="M4" s="48">
        <v>3.75</v>
      </c>
      <c r="N4" s="48">
        <v>2.8</v>
      </c>
      <c r="Q4" s="56"/>
    </row>
    <row r="5" spans="1:17" ht="16.350000000000001" customHeight="1" x14ac:dyDescent="0.25">
      <c r="A5" s="55">
        <v>4</v>
      </c>
      <c r="B5" s="55">
        <v>4</v>
      </c>
      <c r="C5" s="48">
        <v>4</v>
      </c>
      <c r="D5" s="48" t="s">
        <v>1</v>
      </c>
      <c r="E5" s="48" t="s">
        <v>18</v>
      </c>
      <c r="F5" s="48" t="s">
        <v>100</v>
      </c>
      <c r="G5" s="48" t="s">
        <v>100</v>
      </c>
      <c r="H5" s="48" t="s">
        <v>100</v>
      </c>
      <c r="I5" s="48" t="s">
        <v>100</v>
      </c>
      <c r="J5" s="48" t="s">
        <v>745</v>
      </c>
      <c r="K5" s="48" t="s">
        <v>100</v>
      </c>
      <c r="L5" s="48" t="s">
        <v>19</v>
      </c>
      <c r="M5" s="48">
        <v>3.75</v>
      </c>
      <c r="N5" s="48">
        <v>2.8</v>
      </c>
      <c r="P5" s="56"/>
      <c r="Q5" s="56"/>
    </row>
    <row r="6" spans="1:17" ht="16.350000000000001" customHeight="1" x14ac:dyDescent="0.25">
      <c r="A6" s="55">
        <v>5</v>
      </c>
      <c r="B6" s="55">
        <v>5</v>
      </c>
      <c r="C6" s="48">
        <v>5</v>
      </c>
      <c r="D6" s="48" t="s">
        <v>1</v>
      </c>
      <c r="E6" s="48" t="s">
        <v>18</v>
      </c>
      <c r="F6" s="48" t="s">
        <v>100</v>
      </c>
      <c r="G6" s="48" t="s">
        <v>100</v>
      </c>
      <c r="H6" s="48" t="s">
        <v>100</v>
      </c>
      <c r="I6" s="48" t="s">
        <v>697</v>
      </c>
      <c r="J6" s="48" t="s">
        <v>100</v>
      </c>
      <c r="K6" s="48" t="s">
        <v>100</v>
      </c>
      <c r="L6" s="48" t="s">
        <v>19</v>
      </c>
      <c r="M6" s="48">
        <v>3.75</v>
      </c>
      <c r="N6" s="48">
        <v>2.8</v>
      </c>
      <c r="Q6" s="56"/>
    </row>
    <row r="7" spans="1:17" ht="16.350000000000001" customHeight="1" x14ac:dyDescent="0.25">
      <c r="A7" s="55">
        <v>6</v>
      </c>
      <c r="B7" s="55">
        <v>6</v>
      </c>
      <c r="C7" s="48">
        <v>6</v>
      </c>
      <c r="D7" s="48" t="s">
        <v>1</v>
      </c>
      <c r="E7" s="48" t="s">
        <v>18</v>
      </c>
      <c r="F7" s="48" t="s">
        <v>100</v>
      </c>
      <c r="G7" s="48" t="s">
        <v>100</v>
      </c>
      <c r="H7" s="48" t="s">
        <v>100</v>
      </c>
      <c r="I7" s="48" t="s">
        <v>100</v>
      </c>
      <c r="J7" s="48" t="s">
        <v>746</v>
      </c>
      <c r="K7" s="48" t="s">
        <v>100</v>
      </c>
      <c r="L7" s="48" t="s">
        <v>19</v>
      </c>
      <c r="M7" s="48">
        <v>3.75</v>
      </c>
      <c r="N7" s="48">
        <v>2.8</v>
      </c>
      <c r="P7" s="56"/>
      <c r="Q7" s="56"/>
    </row>
    <row r="8" spans="1:17" ht="16.350000000000001" customHeight="1" x14ac:dyDescent="0.25">
      <c r="A8" s="55">
        <v>7</v>
      </c>
      <c r="B8" s="55">
        <v>7</v>
      </c>
      <c r="C8" s="48">
        <v>7</v>
      </c>
      <c r="D8" s="48" t="s">
        <v>55</v>
      </c>
      <c r="E8" s="48" t="s">
        <v>747</v>
      </c>
      <c r="F8" s="48">
        <v>0</v>
      </c>
      <c r="G8" s="48">
        <v>-16.399999999999999</v>
      </c>
      <c r="H8" s="48">
        <v>0</v>
      </c>
      <c r="I8" s="48">
        <v>1</v>
      </c>
      <c r="Q8" s="56"/>
    </row>
    <row r="9" spans="1:17" ht="16.350000000000001" customHeight="1" x14ac:dyDescent="0.25">
      <c r="A9" s="55">
        <v>8</v>
      </c>
      <c r="B9" s="55">
        <v>8</v>
      </c>
      <c r="C9" s="48">
        <v>8</v>
      </c>
      <c r="D9" s="48" t="s">
        <v>39</v>
      </c>
      <c r="E9" s="48">
        <v>0.35</v>
      </c>
      <c r="F9" s="48">
        <v>60</v>
      </c>
      <c r="G9" s="48">
        <v>4</v>
      </c>
      <c r="H9" s="48">
        <v>5000</v>
      </c>
      <c r="P9" s="56"/>
      <c r="Q9" s="56"/>
    </row>
    <row r="10" spans="1:17" ht="16.350000000000001" customHeight="1" x14ac:dyDescent="0.25">
      <c r="A10" s="55">
        <v>9</v>
      </c>
      <c r="B10" s="55">
        <v>9</v>
      </c>
      <c r="C10" s="48">
        <v>9</v>
      </c>
      <c r="D10" s="48" t="s">
        <v>49</v>
      </c>
      <c r="E10" s="48" t="s">
        <v>203</v>
      </c>
      <c r="F10" s="48">
        <v>3</v>
      </c>
      <c r="Q10" s="56"/>
    </row>
    <row r="11" spans="1:17" ht="16.350000000000001" customHeight="1" x14ac:dyDescent="0.25">
      <c r="A11" s="55">
        <v>10</v>
      </c>
      <c r="B11" s="55">
        <v>10</v>
      </c>
      <c r="C11" s="48">
        <v>10</v>
      </c>
      <c r="D11" s="48" t="s">
        <v>1</v>
      </c>
      <c r="E11" s="48" t="s">
        <v>18</v>
      </c>
      <c r="F11" s="48">
        <v>140</v>
      </c>
      <c r="G11" s="48">
        <v>140</v>
      </c>
      <c r="H11" s="48">
        <v>1E-10</v>
      </c>
      <c r="I11" s="48" t="s">
        <v>100</v>
      </c>
      <c r="J11" s="48" t="s">
        <v>748</v>
      </c>
      <c r="K11" s="48" t="s">
        <v>100</v>
      </c>
      <c r="L11" s="48" t="s">
        <v>19</v>
      </c>
      <c r="M11" s="48">
        <v>3.75</v>
      </c>
      <c r="N11" s="48">
        <v>2.8</v>
      </c>
      <c r="P11" s="56"/>
      <c r="Q11" s="56"/>
    </row>
    <row r="12" spans="1:17" ht="16.350000000000001" customHeight="1" x14ac:dyDescent="0.25">
      <c r="A12" s="55">
        <v>11</v>
      </c>
      <c r="B12" s="55">
        <v>11</v>
      </c>
      <c r="C12" s="48">
        <v>11</v>
      </c>
      <c r="D12" s="48" t="s">
        <v>1</v>
      </c>
      <c r="E12" s="48" t="s">
        <v>18</v>
      </c>
      <c r="F12" s="48" t="s">
        <v>100</v>
      </c>
      <c r="G12" s="48" t="s">
        <v>100</v>
      </c>
      <c r="H12" s="48" t="s">
        <v>100</v>
      </c>
      <c r="I12" s="48" t="s">
        <v>697</v>
      </c>
      <c r="J12" s="48" t="s">
        <v>100</v>
      </c>
      <c r="K12" s="48" t="s">
        <v>100</v>
      </c>
      <c r="L12" s="48" t="s">
        <v>19</v>
      </c>
      <c r="M12" s="48">
        <v>3.75</v>
      </c>
      <c r="N12" s="48">
        <v>2.8</v>
      </c>
      <c r="Q12" s="56"/>
    </row>
    <row r="13" spans="1:17" ht="16.350000000000001" customHeight="1" x14ac:dyDescent="0.25">
      <c r="A13" s="55">
        <v>12</v>
      </c>
      <c r="B13" s="55">
        <v>12</v>
      </c>
      <c r="C13" s="48">
        <v>12</v>
      </c>
      <c r="D13" s="48" t="s">
        <v>1</v>
      </c>
      <c r="E13" s="48" t="s">
        <v>18</v>
      </c>
      <c r="F13" s="48" t="s">
        <v>100</v>
      </c>
      <c r="G13" s="48" t="s">
        <v>100</v>
      </c>
      <c r="H13" s="48" t="s">
        <v>100</v>
      </c>
      <c r="I13" s="48" t="s">
        <v>100</v>
      </c>
      <c r="J13" s="48" t="s">
        <v>749</v>
      </c>
      <c r="K13" s="48" t="s">
        <v>100</v>
      </c>
      <c r="L13" s="48" t="s">
        <v>19</v>
      </c>
      <c r="M13" s="48">
        <v>3.75</v>
      </c>
      <c r="N13" s="48">
        <v>2.8</v>
      </c>
      <c r="P13" s="56"/>
      <c r="Q13" s="56"/>
    </row>
    <row r="14" spans="1:17" ht="16.350000000000001" customHeight="1" x14ac:dyDescent="0.25">
      <c r="A14" s="55">
        <v>13</v>
      </c>
      <c r="B14" s="55">
        <v>13</v>
      </c>
      <c r="C14" s="48">
        <v>13</v>
      </c>
      <c r="D14" s="48" t="s">
        <v>1</v>
      </c>
      <c r="E14" s="48" t="s">
        <v>18</v>
      </c>
      <c r="F14" s="48" t="s">
        <v>100</v>
      </c>
      <c r="G14" s="48" t="s">
        <v>100</v>
      </c>
      <c r="H14" s="48" t="s">
        <v>100</v>
      </c>
      <c r="I14" s="48" t="s">
        <v>744</v>
      </c>
      <c r="J14" s="48" t="s">
        <v>100</v>
      </c>
      <c r="K14" s="48" t="s">
        <v>100</v>
      </c>
      <c r="L14" s="48" t="s">
        <v>19</v>
      </c>
      <c r="M14" s="48">
        <v>3.75</v>
      </c>
      <c r="N14" s="48">
        <v>2.8</v>
      </c>
      <c r="Q14" s="56"/>
    </row>
    <row r="15" spans="1:17" ht="16.350000000000001" customHeight="1" x14ac:dyDescent="0.25">
      <c r="A15" s="55">
        <v>14</v>
      </c>
      <c r="B15" s="55">
        <v>14</v>
      </c>
      <c r="C15" s="48">
        <v>14</v>
      </c>
      <c r="D15" s="48" t="s">
        <v>55</v>
      </c>
      <c r="E15" s="48" t="s">
        <v>750</v>
      </c>
      <c r="F15" s="48">
        <v>0</v>
      </c>
      <c r="G15" s="48">
        <v>-16.399999999999999</v>
      </c>
      <c r="H15" s="48">
        <v>0</v>
      </c>
      <c r="I15" s="48">
        <v>1</v>
      </c>
      <c r="P15" s="56"/>
      <c r="Q15" s="56"/>
    </row>
    <row r="16" spans="1:17" ht="16.350000000000001" customHeight="1" x14ac:dyDescent="0.25">
      <c r="A16" s="55">
        <v>15</v>
      </c>
      <c r="B16" s="55">
        <v>15</v>
      </c>
      <c r="C16" s="48">
        <v>15</v>
      </c>
      <c r="D16" s="48" t="s">
        <v>39</v>
      </c>
      <c r="E16" s="48">
        <v>0</v>
      </c>
      <c r="F16" s="48">
        <v>0</v>
      </c>
      <c r="G16" s="48">
        <v>2</v>
      </c>
      <c r="H16" s="48">
        <v>5000</v>
      </c>
      <c r="O16" s="56"/>
      <c r="Q16" s="56"/>
    </row>
    <row r="17" spans="1:17" ht="16.350000000000001" customHeight="1" x14ac:dyDescent="0.25">
      <c r="A17" s="55">
        <v>16</v>
      </c>
      <c r="B17" s="55">
        <v>16</v>
      </c>
      <c r="C17" s="48">
        <v>16</v>
      </c>
      <c r="D17" s="48" t="s">
        <v>1</v>
      </c>
      <c r="E17" s="48" t="s">
        <v>18</v>
      </c>
      <c r="F17" s="48" t="s">
        <v>100</v>
      </c>
      <c r="G17" s="48" t="s">
        <v>100</v>
      </c>
      <c r="H17" s="48" t="s">
        <v>100</v>
      </c>
      <c r="I17" s="48" t="s">
        <v>697</v>
      </c>
      <c r="J17" s="48" t="s">
        <v>100</v>
      </c>
      <c r="K17" s="48" t="s">
        <v>100</v>
      </c>
      <c r="L17" s="48" t="s">
        <v>19</v>
      </c>
      <c r="M17" s="48">
        <v>3.75</v>
      </c>
      <c r="N17" s="48">
        <v>2.8</v>
      </c>
      <c r="P17" s="56"/>
      <c r="Q17" s="56"/>
    </row>
    <row r="18" spans="1:17" ht="16.350000000000001" customHeight="1" x14ac:dyDescent="0.25">
      <c r="A18" s="55">
        <v>17</v>
      </c>
      <c r="B18" s="55">
        <v>17</v>
      </c>
      <c r="C18" s="48">
        <v>17</v>
      </c>
      <c r="D18" s="48" t="s">
        <v>1</v>
      </c>
      <c r="E18" s="48" t="s">
        <v>18</v>
      </c>
      <c r="F18" s="48" t="s">
        <v>100</v>
      </c>
      <c r="G18" s="48" t="s">
        <v>100</v>
      </c>
      <c r="H18" s="48" t="s">
        <v>100</v>
      </c>
      <c r="I18" s="48" t="s">
        <v>100</v>
      </c>
      <c r="J18" s="48" t="s">
        <v>751</v>
      </c>
      <c r="K18" s="48" t="s">
        <v>100</v>
      </c>
      <c r="L18" s="48" t="s">
        <v>19</v>
      </c>
      <c r="M18" s="48">
        <v>3.75</v>
      </c>
      <c r="N18" s="48">
        <v>2.8</v>
      </c>
      <c r="Q18" s="56"/>
    </row>
    <row r="19" spans="1:17" ht="16.350000000000001" customHeight="1" x14ac:dyDescent="0.25">
      <c r="A19" s="55">
        <v>18</v>
      </c>
      <c r="B19" s="55">
        <v>18</v>
      </c>
      <c r="C19" s="48">
        <v>18</v>
      </c>
      <c r="D19" s="48" t="s">
        <v>1</v>
      </c>
      <c r="E19" s="48" t="s">
        <v>18</v>
      </c>
      <c r="F19" s="48" t="s">
        <v>100</v>
      </c>
      <c r="G19" s="48" t="s">
        <v>100</v>
      </c>
      <c r="H19" s="48" t="s">
        <v>100</v>
      </c>
      <c r="I19" s="48" t="s">
        <v>744</v>
      </c>
      <c r="J19" s="48" t="s">
        <v>100</v>
      </c>
      <c r="K19" s="48" t="s">
        <v>100</v>
      </c>
      <c r="L19" s="48" t="s">
        <v>19</v>
      </c>
      <c r="M19" s="48">
        <v>3.75</v>
      </c>
      <c r="N19" s="48">
        <v>2.8</v>
      </c>
      <c r="P19" s="56"/>
      <c r="Q19" s="56"/>
    </row>
    <row r="20" spans="1:17" ht="16.350000000000001" customHeight="1" x14ac:dyDescent="0.25">
      <c r="A20" s="55">
        <v>19</v>
      </c>
      <c r="B20" s="55">
        <v>19</v>
      </c>
      <c r="C20" s="48">
        <v>19</v>
      </c>
      <c r="D20" s="48" t="s">
        <v>1</v>
      </c>
      <c r="E20" s="48" t="s">
        <v>18</v>
      </c>
      <c r="F20" s="48" t="s">
        <v>100</v>
      </c>
      <c r="G20" s="48" t="s">
        <v>100</v>
      </c>
      <c r="H20" s="48" t="s">
        <v>100</v>
      </c>
      <c r="I20" s="48" t="s">
        <v>100</v>
      </c>
      <c r="J20" s="48" t="s">
        <v>752</v>
      </c>
      <c r="K20" s="48" t="s">
        <v>100</v>
      </c>
      <c r="L20" s="48" t="s">
        <v>19</v>
      </c>
      <c r="M20" s="48">
        <v>3.75</v>
      </c>
      <c r="N20" s="48">
        <v>2.8</v>
      </c>
      <c r="Q20" s="56"/>
    </row>
    <row r="21" spans="1:17" ht="16.350000000000001" customHeight="1" x14ac:dyDescent="0.25">
      <c r="A21" s="55">
        <v>20</v>
      </c>
      <c r="B21" s="55">
        <v>20</v>
      </c>
      <c r="C21" s="48">
        <v>20</v>
      </c>
      <c r="D21" s="48" t="s">
        <v>55</v>
      </c>
      <c r="E21" s="48" t="s">
        <v>753</v>
      </c>
      <c r="F21" s="48">
        <v>0</v>
      </c>
      <c r="G21" s="48">
        <v>16.399999999999999</v>
      </c>
      <c r="H21" s="48">
        <v>0</v>
      </c>
      <c r="I21" s="48">
        <v>1</v>
      </c>
      <c r="Q21" s="56"/>
    </row>
    <row r="22" spans="1:17" ht="16.350000000000001" customHeight="1" x14ac:dyDescent="0.25">
      <c r="A22" s="55">
        <v>21</v>
      </c>
      <c r="B22" s="55">
        <v>21</v>
      </c>
      <c r="C22" s="48">
        <v>21</v>
      </c>
      <c r="D22" s="48" t="s">
        <v>698</v>
      </c>
      <c r="E22" s="48">
        <v>0.35</v>
      </c>
      <c r="F22" s="48">
        <v>80</v>
      </c>
      <c r="G22" s="48">
        <v>4</v>
      </c>
      <c r="H22" s="48">
        <v>5000</v>
      </c>
      <c r="Q22" s="56"/>
    </row>
    <row r="23" spans="1:17" ht="16.350000000000001" customHeight="1" x14ac:dyDescent="0.25">
      <c r="A23" s="55">
        <v>22</v>
      </c>
      <c r="B23" s="55">
        <v>22</v>
      </c>
      <c r="C23" s="48">
        <v>22</v>
      </c>
      <c r="D23" s="48" t="s">
        <v>49</v>
      </c>
      <c r="E23" s="48" t="s">
        <v>203</v>
      </c>
      <c r="F23" s="48">
        <v>2</v>
      </c>
      <c r="Q23" s="56"/>
    </row>
    <row r="24" spans="1:17" ht="16.350000000000001" customHeight="1" x14ac:dyDescent="0.25">
      <c r="A24" s="55">
        <v>23</v>
      </c>
      <c r="B24" s="55">
        <v>23</v>
      </c>
      <c r="C24" s="48">
        <v>23</v>
      </c>
      <c r="D24" s="48" t="s">
        <v>1</v>
      </c>
      <c r="E24" s="48" t="s">
        <v>18</v>
      </c>
      <c r="F24" s="48" t="s">
        <v>100</v>
      </c>
      <c r="G24" s="48" t="s">
        <v>100</v>
      </c>
      <c r="H24" s="48" t="s">
        <v>100</v>
      </c>
      <c r="I24" s="48" t="s">
        <v>100</v>
      </c>
      <c r="J24" s="48" t="s">
        <v>100</v>
      </c>
      <c r="K24" s="48">
        <v>2</v>
      </c>
      <c r="L24" s="48" t="s">
        <v>23</v>
      </c>
      <c r="M24" s="48">
        <v>3.75</v>
      </c>
      <c r="N24" s="48">
        <v>2.8</v>
      </c>
      <c r="Q24" s="56"/>
    </row>
    <row r="25" spans="1:17" ht="16.350000000000001" customHeight="1" x14ac:dyDescent="0.25">
      <c r="A25" s="55">
        <v>24</v>
      </c>
      <c r="B25" s="55">
        <v>24</v>
      </c>
      <c r="C25" s="48">
        <v>24</v>
      </c>
      <c r="D25" s="48" t="s">
        <v>172</v>
      </c>
      <c r="E25" s="48" t="s">
        <v>710</v>
      </c>
      <c r="F25" s="48">
        <v>155</v>
      </c>
      <c r="G25" s="48" t="s">
        <v>702</v>
      </c>
      <c r="H25" s="48">
        <v>0</v>
      </c>
      <c r="I25" s="48">
        <v>1</v>
      </c>
      <c r="J25" s="48">
        <v>1</v>
      </c>
      <c r="K25" s="48">
        <v>3.75</v>
      </c>
      <c r="L25" s="48">
        <v>2.8</v>
      </c>
      <c r="Q25" s="56"/>
    </row>
    <row r="26" spans="1:17" ht="16.350000000000001" customHeight="1" x14ac:dyDescent="0.25">
      <c r="A26" s="55">
        <v>25</v>
      </c>
      <c r="B26" s="55">
        <v>25</v>
      </c>
      <c r="C26" s="48">
        <v>25</v>
      </c>
      <c r="D26" s="48" t="s">
        <v>1</v>
      </c>
      <c r="E26" s="48" t="s">
        <v>18</v>
      </c>
      <c r="F26" s="48" t="s">
        <v>100</v>
      </c>
      <c r="G26" s="48" t="s">
        <v>100</v>
      </c>
      <c r="H26" s="48" t="s">
        <v>100</v>
      </c>
      <c r="I26" s="48">
        <v>275</v>
      </c>
      <c r="J26" s="48">
        <v>135</v>
      </c>
      <c r="K26" s="48">
        <v>2</v>
      </c>
      <c r="L26" s="48" t="s">
        <v>19</v>
      </c>
      <c r="M26" s="48">
        <v>3.75</v>
      </c>
      <c r="N26" s="48">
        <v>2.8</v>
      </c>
      <c r="Q26" s="56"/>
    </row>
    <row r="27" spans="1:17" ht="16.350000000000001" customHeight="1" x14ac:dyDescent="0.25">
      <c r="A27" s="55">
        <v>26</v>
      </c>
      <c r="B27" s="55">
        <v>26</v>
      </c>
      <c r="C27" s="48">
        <v>26</v>
      </c>
      <c r="D27" s="48" t="s">
        <v>1</v>
      </c>
      <c r="E27" s="48" t="s">
        <v>18</v>
      </c>
      <c r="F27" s="48" t="s">
        <v>100</v>
      </c>
      <c r="G27" s="48" t="s">
        <v>100</v>
      </c>
      <c r="H27" s="48" t="s">
        <v>100</v>
      </c>
      <c r="I27" s="48" t="s">
        <v>744</v>
      </c>
      <c r="J27" s="48" t="s">
        <v>100</v>
      </c>
      <c r="K27" s="48" t="s">
        <v>100</v>
      </c>
      <c r="L27" s="48" t="s">
        <v>19</v>
      </c>
      <c r="M27" s="48">
        <v>3.75</v>
      </c>
      <c r="N27" s="48">
        <v>2.8</v>
      </c>
      <c r="O27" s="56"/>
      <c r="Q27" s="56"/>
    </row>
    <row r="28" spans="1:17" ht="16.350000000000001" customHeight="1" x14ac:dyDescent="0.25">
      <c r="A28" s="55">
        <v>27</v>
      </c>
      <c r="B28" s="55">
        <v>27</v>
      </c>
      <c r="C28" s="48">
        <v>27</v>
      </c>
      <c r="D28" s="48" t="s">
        <v>1</v>
      </c>
      <c r="E28" s="48" t="s">
        <v>18</v>
      </c>
      <c r="F28" s="48" t="s">
        <v>100</v>
      </c>
      <c r="G28" s="48" t="s">
        <v>100</v>
      </c>
      <c r="H28" s="48" t="s">
        <v>100</v>
      </c>
      <c r="I28" s="48" t="s">
        <v>100</v>
      </c>
      <c r="J28" s="48" t="s">
        <v>745</v>
      </c>
      <c r="K28" s="48" t="s">
        <v>100</v>
      </c>
      <c r="L28" s="48" t="s">
        <v>19</v>
      </c>
      <c r="M28" s="48">
        <v>3.75</v>
      </c>
      <c r="N28" s="48">
        <v>2.8</v>
      </c>
      <c r="Q28" s="56"/>
    </row>
    <row r="29" spans="1:17" ht="16.350000000000001" customHeight="1" x14ac:dyDescent="0.25">
      <c r="A29" s="55">
        <v>28</v>
      </c>
      <c r="B29" s="55">
        <v>28</v>
      </c>
      <c r="C29" s="48">
        <v>28</v>
      </c>
      <c r="D29" s="48" t="s">
        <v>1</v>
      </c>
      <c r="E29" s="48" t="s">
        <v>18</v>
      </c>
      <c r="F29" s="48" t="s">
        <v>100</v>
      </c>
      <c r="G29" s="48" t="s">
        <v>100</v>
      </c>
      <c r="H29" s="48" t="s">
        <v>100</v>
      </c>
      <c r="I29" s="48" t="s">
        <v>697</v>
      </c>
      <c r="J29" s="48" t="s">
        <v>100</v>
      </c>
      <c r="K29" s="48" t="s">
        <v>100</v>
      </c>
      <c r="L29" s="48" t="s">
        <v>19</v>
      </c>
      <c r="M29" s="48">
        <v>3.75</v>
      </c>
      <c r="N29" s="48">
        <v>2.8</v>
      </c>
      <c r="Q29" s="56"/>
    </row>
    <row r="30" spans="1:17" ht="16.350000000000001" customHeight="1" x14ac:dyDescent="0.25">
      <c r="A30" s="55">
        <v>29</v>
      </c>
      <c r="B30" s="55">
        <v>29</v>
      </c>
      <c r="C30" s="48">
        <v>29</v>
      </c>
      <c r="D30" s="48" t="s">
        <v>1</v>
      </c>
      <c r="E30" s="48" t="s">
        <v>18</v>
      </c>
      <c r="F30" s="48" t="s">
        <v>100</v>
      </c>
      <c r="G30" s="48" t="s">
        <v>100</v>
      </c>
      <c r="H30" s="48" t="s">
        <v>100</v>
      </c>
      <c r="I30" s="48" t="s">
        <v>100</v>
      </c>
      <c r="J30" s="48" t="s">
        <v>746</v>
      </c>
      <c r="K30" s="48" t="s">
        <v>100</v>
      </c>
      <c r="L30" s="48" t="s">
        <v>19</v>
      </c>
      <c r="M30" s="48">
        <v>3.75</v>
      </c>
      <c r="N30" s="48">
        <v>2.8</v>
      </c>
      <c r="Q30" s="56"/>
    </row>
    <row r="31" spans="1:17" ht="16.350000000000001" customHeight="1" x14ac:dyDescent="0.25">
      <c r="A31" s="55">
        <v>30</v>
      </c>
      <c r="B31" s="55">
        <v>30</v>
      </c>
      <c r="C31" s="48">
        <v>30</v>
      </c>
      <c r="D31" s="48" t="s">
        <v>55</v>
      </c>
      <c r="E31" s="48" t="s">
        <v>770</v>
      </c>
      <c r="F31" s="48">
        <v>0</v>
      </c>
      <c r="G31" s="48">
        <v>-16.399999999999999</v>
      </c>
      <c r="H31" s="48">
        <v>0</v>
      </c>
      <c r="I31" s="48">
        <v>1</v>
      </c>
      <c r="Q31" s="56"/>
    </row>
    <row r="32" spans="1:17" ht="16.350000000000001" customHeight="1" x14ac:dyDescent="0.25">
      <c r="A32" s="55">
        <v>31</v>
      </c>
      <c r="B32" s="55">
        <v>31</v>
      </c>
      <c r="C32" s="48">
        <v>31</v>
      </c>
      <c r="D32" s="48" t="s">
        <v>39</v>
      </c>
      <c r="E32" s="48">
        <v>0</v>
      </c>
      <c r="F32" s="48">
        <v>0</v>
      </c>
      <c r="G32" s="48">
        <v>2</v>
      </c>
      <c r="H32" s="48">
        <v>5000</v>
      </c>
      <c r="Q32" s="56"/>
    </row>
    <row r="33" spans="1:17" ht="16.350000000000001" customHeight="1" x14ac:dyDescent="0.25">
      <c r="A33" s="55">
        <v>32</v>
      </c>
      <c r="B33" s="55">
        <v>32</v>
      </c>
      <c r="C33" s="48">
        <v>32</v>
      </c>
      <c r="D33" s="48" t="s">
        <v>1</v>
      </c>
      <c r="E33" s="48" t="s">
        <v>18</v>
      </c>
      <c r="F33" s="48" t="s">
        <v>100</v>
      </c>
      <c r="G33" s="48" t="s">
        <v>100</v>
      </c>
      <c r="H33" s="48" t="s">
        <v>100</v>
      </c>
      <c r="I33" s="48" t="s">
        <v>100</v>
      </c>
      <c r="J33" s="48" t="s">
        <v>759</v>
      </c>
      <c r="K33" s="48" t="s">
        <v>100</v>
      </c>
      <c r="L33" s="48" t="s">
        <v>19</v>
      </c>
      <c r="M33" s="48">
        <v>3.75</v>
      </c>
      <c r="N33" s="48">
        <v>2.8</v>
      </c>
      <c r="Q33" s="56"/>
    </row>
    <row r="34" spans="1:17" ht="16.350000000000001" customHeight="1" x14ac:dyDescent="0.25">
      <c r="A34" s="55">
        <v>33</v>
      </c>
      <c r="B34" s="55">
        <v>33</v>
      </c>
      <c r="C34" s="48">
        <v>33</v>
      </c>
      <c r="D34" s="48" t="s">
        <v>1</v>
      </c>
      <c r="E34" s="48" t="s">
        <v>18</v>
      </c>
      <c r="F34" s="48" t="s">
        <v>100</v>
      </c>
      <c r="G34" s="48" t="s">
        <v>100</v>
      </c>
      <c r="H34" s="48" t="s">
        <v>100</v>
      </c>
      <c r="I34" s="48" t="s">
        <v>744</v>
      </c>
      <c r="J34" s="48" t="s">
        <v>100</v>
      </c>
      <c r="K34" s="48" t="s">
        <v>100</v>
      </c>
      <c r="L34" s="48" t="s">
        <v>19</v>
      </c>
      <c r="M34" s="48">
        <v>3.75</v>
      </c>
      <c r="N34" s="48">
        <v>2.8</v>
      </c>
      <c r="Q34" s="56"/>
    </row>
    <row r="35" spans="1:17" ht="16.350000000000001" customHeight="1" x14ac:dyDescent="0.25">
      <c r="A35" s="55">
        <v>34</v>
      </c>
      <c r="B35" s="55">
        <v>34</v>
      </c>
      <c r="C35" s="48">
        <v>34</v>
      </c>
      <c r="D35" s="48" t="s">
        <v>1</v>
      </c>
      <c r="E35" s="48" t="s">
        <v>18</v>
      </c>
      <c r="F35" s="48" t="s">
        <v>100</v>
      </c>
      <c r="G35" s="48" t="s">
        <v>100</v>
      </c>
      <c r="H35" s="48" t="s">
        <v>100</v>
      </c>
      <c r="I35" s="48" t="s">
        <v>100</v>
      </c>
      <c r="J35" s="48" t="s">
        <v>364</v>
      </c>
      <c r="K35" s="48" t="s">
        <v>100</v>
      </c>
      <c r="L35" s="48" t="s">
        <v>19</v>
      </c>
      <c r="M35" s="48">
        <v>3.75</v>
      </c>
      <c r="N35" s="48">
        <v>2.8</v>
      </c>
      <c r="Q35" s="56"/>
    </row>
    <row r="36" spans="1:17" ht="16.350000000000001" customHeight="1" x14ac:dyDescent="0.25">
      <c r="A36" s="55">
        <v>35</v>
      </c>
      <c r="B36" s="55">
        <v>35</v>
      </c>
      <c r="C36" s="48">
        <v>35</v>
      </c>
      <c r="D36" s="48" t="s">
        <v>1</v>
      </c>
      <c r="E36" s="48" t="s">
        <v>18</v>
      </c>
      <c r="F36" s="48" t="s">
        <v>100</v>
      </c>
      <c r="G36" s="48" t="s">
        <v>100</v>
      </c>
      <c r="H36" s="48" t="s">
        <v>100</v>
      </c>
      <c r="I36" s="48" t="s">
        <v>697</v>
      </c>
      <c r="J36" s="48" t="s">
        <v>100</v>
      </c>
      <c r="K36" s="48" t="s">
        <v>100</v>
      </c>
      <c r="L36" s="48" t="s">
        <v>19</v>
      </c>
      <c r="M36" s="48">
        <v>3.75</v>
      </c>
      <c r="N36" s="48">
        <v>2.8</v>
      </c>
      <c r="Q36" s="56"/>
    </row>
    <row r="37" spans="1:17" ht="16.350000000000001" customHeight="1" x14ac:dyDescent="0.25">
      <c r="A37" s="55">
        <v>36</v>
      </c>
      <c r="B37" s="55">
        <v>36</v>
      </c>
      <c r="C37" s="48">
        <v>36</v>
      </c>
      <c r="D37" s="48" t="s">
        <v>55</v>
      </c>
      <c r="E37" s="48" t="s">
        <v>771</v>
      </c>
      <c r="F37" s="48">
        <v>0</v>
      </c>
      <c r="G37" s="48">
        <v>16.399999999999999</v>
      </c>
      <c r="H37" s="48">
        <v>0</v>
      </c>
      <c r="I37" s="48">
        <v>1</v>
      </c>
      <c r="Q37" s="56"/>
    </row>
    <row r="38" spans="1:17" ht="16.350000000000001" customHeight="1" x14ac:dyDescent="0.25">
      <c r="A38" s="55">
        <v>37</v>
      </c>
      <c r="B38" s="55">
        <v>37</v>
      </c>
      <c r="C38" s="48">
        <v>37</v>
      </c>
      <c r="D38" s="48" t="s">
        <v>39</v>
      </c>
      <c r="E38" s="48">
        <v>0</v>
      </c>
      <c r="F38" s="48">
        <v>0</v>
      </c>
      <c r="G38" s="48">
        <v>4</v>
      </c>
      <c r="H38" s="48">
        <v>5000</v>
      </c>
      <c r="O38" s="56"/>
      <c r="Q38" s="56"/>
    </row>
    <row r="39" spans="1:17" ht="16.350000000000001" customHeight="1" x14ac:dyDescent="0.25">
      <c r="A39" s="55">
        <v>38</v>
      </c>
      <c r="B39" s="55">
        <v>9</v>
      </c>
      <c r="C39" s="48">
        <v>38</v>
      </c>
      <c r="D39" s="48" t="s">
        <v>49</v>
      </c>
      <c r="E39" s="48" t="s">
        <v>203</v>
      </c>
      <c r="F39" s="48">
        <v>3</v>
      </c>
      <c r="Q39" s="56"/>
    </row>
    <row r="40" spans="1:17" ht="16.350000000000001" customHeight="1" x14ac:dyDescent="0.25">
      <c r="A40" s="55">
        <v>38</v>
      </c>
      <c r="B40" s="55">
        <v>10</v>
      </c>
      <c r="C40" s="48">
        <v>39</v>
      </c>
      <c r="D40" s="48" t="s">
        <v>1</v>
      </c>
      <c r="E40" s="48" t="s">
        <v>18</v>
      </c>
      <c r="F40" s="48">
        <v>140</v>
      </c>
      <c r="G40" s="48">
        <v>140</v>
      </c>
      <c r="H40" s="48">
        <v>4.0000000001</v>
      </c>
      <c r="I40" s="48" t="s">
        <v>100</v>
      </c>
      <c r="J40" s="48" t="s">
        <v>748</v>
      </c>
      <c r="K40" s="48" t="s">
        <v>100</v>
      </c>
      <c r="L40" s="48" t="s">
        <v>19</v>
      </c>
      <c r="M40" s="48">
        <v>3.75</v>
      </c>
      <c r="N40" s="48">
        <v>2.8</v>
      </c>
      <c r="Q40" s="56"/>
    </row>
    <row r="41" spans="1:17" ht="16.350000000000001" customHeight="1" x14ac:dyDescent="0.25">
      <c r="A41" s="55">
        <v>38</v>
      </c>
      <c r="B41" s="55">
        <v>11</v>
      </c>
      <c r="C41" s="48">
        <v>40</v>
      </c>
      <c r="D41" s="48" t="s">
        <v>1</v>
      </c>
      <c r="E41" s="48" t="s">
        <v>18</v>
      </c>
      <c r="F41" s="48" t="s">
        <v>100</v>
      </c>
      <c r="G41" s="48" t="s">
        <v>100</v>
      </c>
      <c r="H41" s="48" t="s">
        <v>100</v>
      </c>
      <c r="I41" s="48" t="s">
        <v>697</v>
      </c>
      <c r="J41" s="48" t="s">
        <v>100</v>
      </c>
      <c r="K41" s="48" t="s">
        <v>100</v>
      </c>
      <c r="L41" s="48" t="s">
        <v>19</v>
      </c>
      <c r="M41" s="48">
        <v>3.75</v>
      </c>
      <c r="N41" s="48">
        <v>2.8</v>
      </c>
      <c r="Q41" s="56"/>
    </row>
    <row r="42" spans="1:17" ht="16.350000000000001" customHeight="1" x14ac:dyDescent="0.25">
      <c r="A42" s="55">
        <v>38</v>
      </c>
      <c r="B42" s="55">
        <v>12</v>
      </c>
      <c r="C42" s="48">
        <v>41</v>
      </c>
      <c r="D42" s="48" t="s">
        <v>1</v>
      </c>
      <c r="E42" s="48" t="s">
        <v>18</v>
      </c>
      <c r="F42" s="48" t="s">
        <v>100</v>
      </c>
      <c r="G42" s="48" t="s">
        <v>100</v>
      </c>
      <c r="H42" s="48" t="s">
        <v>100</v>
      </c>
      <c r="I42" s="48" t="s">
        <v>100</v>
      </c>
      <c r="J42" s="48" t="s">
        <v>749</v>
      </c>
      <c r="K42" s="48" t="s">
        <v>100</v>
      </c>
      <c r="L42" s="48" t="s">
        <v>19</v>
      </c>
      <c r="M42" s="48">
        <v>3.75</v>
      </c>
      <c r="N42" s="48">
        <v>2.8</v>
      </c>
      <c r="Q42" s="56"/>
    </row>
    <row r="43" spans="1:17" ht="16.350000000000001" customHeight="1" x14ac:dyDescent="0.25">
      <c r="A43" s="55">
        <v>38</v>
      </c>
      <c r="B43" s="55">
        <v>13</v>
      </c>
      <c r="C43" s="48">
        <v>42</v>
      </c>
      <c r="D43" s="48" t="s">
        <v>1</v>
      </c>
      <c r="E43" s="48" t="s">
        <v>18</v>
      </c>
      <c r="F43" s="48" t="s">
        <v>100</v>
      </c>
      <c r="G43" s="48" t="s">
        <v>100</v>
      </c>
      <c r="H43" s="48" t="s">
        <v>100</v>
      </c>
      <c r="I43" s="48" t="s">
        <v>744</v>
      </c>
      <c r="J43" s="48" t="s">
        <v>100</v>
      </c>
      <c r="K43" s="48" t="s">
        <v>100</v>
      </c>
      <c r="L43" s="48" t="s">
        <v>19</v>
      </c>
      <c r="M43" s="48">
        <v>3.75</v>
      </c>
      <c r="N43" s="48">
        <v>2.8</v>
      </c>
      <c r="Q43" s="56"/>
    </row>
    <row r="44" spans="1:17" ht="16.350000000000001" customHeight="1" x14ac:dyDescent="0.25">
      <c r="A44" s="55">
        <v>38</v>
      </c>
      <c r="B44" s="55">
        <v>14</v>
      </c>
      <c r="C44" s="48">
        <v>43</v>
      </c>
      <c r="D44" s="48" t="s">
        <v>55</v>
      </c>
      <c r="E44" s="48" t="s">
        <v>766</v>
      </c>
      <c r="F44" s="48">
        <v>0</v>
      </c>
      <c r="G44" s="48">
        <v>-16.399999999999999</v>
      </c>
      <c r="H44" s="48">
        <v>0</v>
      </c>
      <c r="I44" s="48">
        <v>1</v>
      </c>
      <c r="Q44" s="56"/>
    </row>
    <row r="45" spans="1:17" ht="16.350000000000001" customHeight="1" x14ac:dyDescent="0.25">
      <c r="A45" s="55">
        <v>38</v>
      </c>
      <c r="B45" s="55">
        <v>15</v>
      </c>
      <c r="C45" s="48">
        <v>44</v>
      </c>
      <c r="D45" s="48" t="s">
        <v>39</v>
      </c>
      <c r="E45" s="48">
        <v>0</v>
      </c>
      <c r="F45" s="48">
        <v>0</v>
      </c>
      <c r="G45" s="48">
        <v>2</v>
      </c>
      <c r="H45" s="48">
        <v>5000</v>
      </c>
      <c r="Q45" s="56"/>
    </row>
    <row r="46" spans="1:17" ht="16.350000000000001" customHeight="1" x14ac:dyDescent="0.25">
      <c r="A46" s="55">
        <v>38</v>
      </c>
      <c r="B46" s="55">
        <v>16</v>
      </c>
      <c r="C46" s="48">
        <v>45</v>
      </c>
      <c r="D46" s="48" t="s">
        <v>1</v>
      </c>
      <c r="E46" s="48" t="s">
        <v>18</v>
      </c>
      <c r="F46" s="48" t="s">
        <v>100</v>
      </c>
      <c r="G46" s="48" t="s">
        <v>100</v>
      </c>
      <c r="H46" s="48" t="s">
        <v>100</v>
      </c>
      <c r="I46" s="48" t="s">
        <v>697</v>
      </c>
      <c r="J46" s="48" t="s">
        <v>100</v>
      </c>
      <c r="K46" s="48" t="s">
        <v>100</v>
      </c>
      <c r="L46" s="48" t="s">
        <v>19</v>
      </c>
      <c r="M46" s="48">
        <v>3.75</v>
      </c>
      <c r="N46" s="48">
        <v>2.8</v>
      </c>
      <c r="Q46" s="56"/>
    </row>
    <row r="47" spans="1:17" ht="16.350000000000001" customHeight="1" x14ac:dyDescent="0.25">
      <c r="A47" s="55">
        <v>38</v>
      </c>
      <c r="B47" s="55">
        <v>17</v>
      </c>
      <c r="C47" s="48">
        <v>46</v>
      </c>
      <c r="D47" s="48" t="s">
        <v>1</v>
      </c>
      <c r="E47" s="48" t="s">
        <v>18</v>
      </c>
      <c r="F47" s="48" t="s">
        <v>100</v>
      </c>
      <c r="G47" s="48" t="s">
        <v>100</v>
      </c>
      <c r="H47" s="48" t="s">
        <v>100</v>
      </c>
      <c r="I47" s="48" t="s">
        <v>100</v>
      </c>
      <c r="J47" s="48" t="s">
        <v>751</v>
      </c>
      <c r="K47" s="48" t="s">
        <v>100</v>
      </c>
      <c r="L47" s="48" t="s">
        <v>19</v>
      </c>
      <c r="M47" s="48">
        <v>3.75</v>
      </c>
      <c r="N47" s="48">
        <v>2.8</v>
      </c>
      <c r="Q47" s="56"/>
    </row>
    <row r="48" spans="1:17" ht="16.350000000000001" customHeight="1" x14ac:dyDescent="0.25">
      <c r="A48" s="55">
        <v>38</v>
      </c>
      <c r="B48" s="55">
        <v>18</v>
      </c>
      <c r="C48" s="48">
        <v>47</v>
      </c>
      <c r="D48" s="48" t="s">
        <v>1</v>
      </c>
      <c r="E48" s="48" t="s">
        <v>18</v>
      </c>
      <c r="F48" s="48" t="s">
        <v>100</v>
      </c>
      <c r="G48" s="48" t="s">
        <v>100</v>
      </c>
      <c r="H48" s="48" t="s">
        <v>100</v>
      </c>
      <c r="I48" s="48" t="s">
        <v>744</v>
      </c>
      <c r="J48" s="48" t="s">
        <v>100</v>
      </c>
      <c r="K48" s="48" t="s">
        <v>100</v>
      </c>
      <c r="L48" s="48" t="s">
        <v>19</v>
      </c>
      <c r="M48" s="48">
        <v>3.75</v>
      </c>
      <c r="N48" s="48">
        <v>2.8</v>
      </c>
    </row>
    <row r="49" spans="1:17" ht="16.350000000000001" customHeight="1" x14ac:dyDescent="0.25">
      <c r="A49" s="55">
        <v>38</v>
      </c>
      <c r="B49" s="55">
        <v>19</v>
      </c>
      <c r="C49" s="48">
        <v>48</v>
      </c>
      <c r="D49" s="48" t="s">
        <v>1</v>
      </c>
      <c r="E49" s="48" t="s">
        <v>18</v>
      </c>
      <c r="F49" s="48" t="s">
        <v>100</v>
      </c>
      <c r="G49" s="48" t="s">
        <v>100</v>
      </c>
      <c r="H49" s="48" t="s">
        <v>100</v>
      </c>
      <c r="I49" s="48" t="s">
        <v>100</v>
      </c>
      <c r="J49" s="48" t="s">
        <v>752</v>
      </c>
      <c r="K49" s="48" t="s">
        <v>100</v>
      </c>
      <c r="L49" s="48" t="s">
        <v>19</v>
      </c>
      <c r="M49" s="48">
        <v>3.75</v>
      </c>
      <c r="N49" s="48">
        <v>2.8</v>
      </c>
      <c r="O49" s="56"/>
      <c r="Q49" s="56"/>
    </row>
    <row r="50" spans="1:17" ht="16.350000000000001" customHeight="1" x14ac:dyDescent="0.25">
      <c r="A50" s="55">
        <v>38</v>
      </c>
      <c r="B50" s="55">
        <v>20</v>
      </c>
      <c r="C50" s="48">
        <v>49</v>
      </c>
      <c r="D50" s="48" t="s">
        <v>55</v>
      </c>
      <c r="E50" s="48" t="s">
        <v>767</v>
      </c>
      <c r="F50" s="48">
        <v>0</v>
      </c>
      <c r="G50" s="48">
        <v>16.399999999999999</v>
      </c>
      <c r="H50" s="48">
        <v>0</v>
      </c>
      <c r="I50" s="48">
        <v>1</v>
      </c>
      <c r="Q50" s="56"/>
    </row>
    <row r="51" spans="1:17" ht="16.350000000000001" customHeight="1" x14ac:dyDescent="0.25">
      <c r="A51" s="55">
        <v>38</v>
      </c>
      <c r="B51" s="55">
        <v>21</v>
      </c>
      <c r="C51" s="48">
        <v>50</v>
      </c>
      <c r="D51" s="48" t="s">
        <v>698</v>
      </c>
      <c r="E51" s="48">
        <v>0.35</v>
      </c>
      <c r="F51" s="48">
        <v>80</v>
      </c>
      <c r="G51" s="48">
        <v>4</v>
      </c>
      <c r="H51" s="48">
        <v>5000</v>
      </c>
      <c r="Q51" s="56"/>
    </row>
    <row r="52" spans="1:17" ht="16.350000000000001" customHeight="1" x14ac:dyDescent="0.25">
      <c r="A52" s="55">
        <v>38</v>
      </c>
      <c r="B52" s="55">
        <v>22</v>
      </c>
      <c r="C52" s="48">
        <v>51</v>
      </c>
      <c r="D52" s="48" t="s">
        <v>49</v>
      </c>
      <c r="E52" s="48" t="s">
        <v>203</v>
      </c>
      <c r="F52" s="48">
        <v>2</v>
      </c>
      <c r="Q52" s="56"/>
    </row>
    <row r="53" spans="1:17" ht="16.350000000000001" customHeight="1" x14ac:dyDescent="0.25">
      <c r="A53" s="55">
        <v>38</v>
      </c>
      <c r="B53" s="55">
        <v>23</v>
      </c>
      <c r="C53" s="48">
        <v>52</v>
      </c>
      <c r="D53" s="48" t="s">
        <v>1</v>
      </c>
      <c r="E53" s="48" t="s">
        <v>18</v>
      </c>
      <c r="F53" s="48" t="s">
        <v>100</v>
      </c>
      <c r="G53" s="48" t="s">
        <v>100</v>
      </c>
      <c r="H53" s="48" t="s">
        <v>100</v>
      </c>
      <c r="I53" s="48" t="s">
        <v>100</v>
      </c>
      <c r="J53" s="48" t="s">
        <v>100</v>
      </c>
      <c r="K53" s="48">
        <v>6</v>
      </c>
      <c r="L53" s="48" t="s">
        <v>23</v>
      </c>
      <c r="M53" s="48">
        <v>3.75</v>
      </c>
      <c r="N53" s="48">
        <v>2.8</v>
      </c>
      <c r="Q53" s="56"/>
    </row>
    <row r="54" spans="1:17" ht="16.350000000000001" customHeight="1" x14ac:dyDescent="0.25">
      <c r="A54" s="55">
        <v>38</v>
      </c>
      <c r="B54" s="55">
        <v>24</v>
      </c>
      <c r="C54" s="48">
        <v>53</v>
      </c>
      <c r="D54" s="48" t="s">
        <v>172</v>
      </c>
      <c r="E54" s="48" t="s">
        <v>712</v>
      </c>
      <c r="F54" s="48">
        <v>155</v>
      </c>
      <c r="G54" s="48" t="s">
        <v>713</v>
      </c>
      <c r="H54" s="48">
        <v>0</v>
      </c>
      <c r="I54" s="48">
        <v>1</v>
      </c>
      <c r="J54" s="48">
        <v>1</v>
      </c>
      <c r="K54" s="48">
        <v>3.75</v>
      </c>
      <c r="L54" s="48">
        <v>2.8</v>
      </c>
      <c r="Q54" s="56"/>
    </row>
    <row r="55" spans="1:17" ht="16.350000000000001" customHeight="1" x14ac:dyDescent="0.25">
      <c r="A55" s="55">
        <v>38</v>
      </c>
      <c r="B55" s="55">
        <v>25</v>
      </c>
      <c r="C55" s="48">
        <v>54</v>
      </c>
      <c r="D55" s="48" t="s">
        <v>1</v>
      </c>
      <c r="E55" s="48" t="s">
        <v>18</v>
      </c>
      <c r="F55" s="48" t="s">
        <v>100</v>
      </c>
      <c r="G55" s="48" t="s">
        <v>100</v>
      </c>
      <c r="H55" s="48" t="s">
        <v>100</v>
      </c>
      <c r="I55" s="48">
        <v>275</v>
      </c>
      <c r="J55" s="48">
        <v>135</v>
      </c>
      <c r="K55" s="48">
        <v>6</v>
      </c>
      <c r="L55" s="48" t="s">
        <v>19</v>
      </c>
      <c r="M55" s="48">
        <v>3.75</v>
      </c>
      <c r="N55" s="48">
        <v>2.8</v>
      </c>
      <c r="Q55" s="56"/>
    </row>
    <row r="56" spans="1:17" ht="16.350000000000001" customHeight="1" x14ac:dyDescent="0.25">
      <c r="A56" s="55">
        <v>38</v>
      </c>
      <c r="B56" s="55">
        <v>26</v>
      </c>
      <c r="C56" s="48">
        <v>55</v>
      </c>
      <c r="D56" s="48" t="s">
        <v>1</v>
      </c>
      <c r="E56" s="48" t="s">
        <v>18</v>
      </c>
      <c r="F56" s="48" t="s">
        <v>100</v>
      </c>
      <c r="G56" s="48" t="s">
        <v>100</v>
      </c>
      <c r="H56" s="48" t="s">
        <v>100</v>
      </c>
      <c r="I56" s="48" t="s">
        <v>744</v>
      </c>
      <c r="J56" s="48" t="s">
        <v>100</v>
      </c>
      <c r="K56" s="48" t="s">
        <v>100</v>
      </c>
      <c r="L56" s="48" t="s">
        <v>19</v>
      </c>
      <c r="M56" s="48">
        <v>3.75</v>
      </c>
      <c r="N56" s="48">
        <v>2.8</v>
      </c>
      <c r="Q56" s="56"/>
    </row>
    <row r="57" spans="1:17" ht="16.350000000000001" customHeight="1" x14ac:dyDescent="0.25">
      <c r="A57" s="55">
        <v>38</v>
      </c>
      <c r="B57" s="55">
        <v>27</v>
      </c>
      <c r="C57" s="48">
        <v>56</v>
      </c>
      <c r="D57" s="48" t="s">
        <v>1</v>
      </c>
      <c r="E57" s="48" t="s">
        <v>18</v>
      </c>
      <c r="F57" s="48" t="s">
        <v>100</v>
      </c>
      <c r="G57" s="48" t="s">
        <v>100</v>
      </c>
      <c r="H57" s="48" t="s">
        <v>100</v>
      </c>
      <c r="I57" s="48" t="s">
        <v>100</v>
      </c>
      <c r="J57" s="48" t="s">
        <v>745</v>
      </c>
      <c r="K57" s="48" t="s">
        <v>100</v>
      </c>
      <c r="L57" s="48" t="s">
        <v>19</v>
      </c>
      <c r="M57" s="48">
        <v>3.75</v>
      </c>
      <c r="N57" s="48">
        <v>2.8</v>
      </c>
      <c r="Q57" s="56"/>
    </row>
    <row r="58" spans="1:17" ht="16.350000000000001" customHeight="1" x14ac:dyDescent="0.25">
      <c r="A58" s="55">
        <v>38</v>
      </c>
      <c r="B58" s="55">
        <v>28</v>
      </c>
      <c r="C58" s="48">
        <v>57</v>
      </c>
      <c r="D58" s="48" t="s">
        <v>1</v>
      </c>
      <c r="E58" s="48" t="s">
        <v>18</v>
      </c>
      <c r="F58" s="48" t="s">
        <v>100</v>
      </c>
      <c r="G58" s="48" t="s">
        <v>100</v>
      </c>
      <c r="H58" s="48" t="s">
        <v>100</v>
      </c>
      <c r="I58" s="48" t="s">
        <v>697</v>
      </c>
      <c r="J58" s="48" t="s">
        <v>100</v>
      </c>
      <c r="K58" s="48" t="s">
        <v>100</v>
      </c>
      <c r="L58" s="48" t="s">
        <v>19</v>
      </c>
      <c r="M58" s="48">
        <v>3.75</v>
      </c>
      <c r="N58" s="48">
        <v>2.8</v>
      </c>
      <c r="Q58" s="56"/>
    </row>
    <row r="59" spans="1:17" ht="16.350000000000001" customHeight="1" x14ac:dyDescent="0.25">
      <c r="A59" s="55">
        <v>38</v>
      </c>
      <c r="B59" s="55">
        <v>29</v>
      </c>
      <c r="C59" s="48">
        <v>58</v>
      </c>
      <c r="D59" s="48" t="s">
        <v>1</v>
      </c>
      <c r="E59" s="48" t="s">
        <v>18</v>
      </c>
      <c r="F59" s="48" t="s">
        <v>100</v>
      </c>
      <c r="G59" s="48" t="s">
        <v>100</v>
      </c>
      <c r="H59" s="48" t="s">
        <v>100</v>
      </c>
      <c r="I59" s="48" t="s">
        <v>100</v>
      </c>
      <c r="J59" s="48" t="s">
        <v>746</v>
      </c>
      <c r="K59" s="48" t="s">
        <v>100</v>
      </c>
      <c r="L59" s="48" t="s">
        <v>19</v>
      </c>
      <c r="M59" s="48">
        <v>3.75</v>
      </c>
      <c r="N59" s="48">
        <v>2.8</v>
      </c>
      <c r="Q59" s="56"/>
    </row>
    <row r="60" spans="1:17" ht="16.350000000000001" customHeight="1" x14ac:dyDescent="0.25">
      <c r="A60" s="55">
        <v>38</v>
      </c>
      <c r="B60" s="55">
        <v>30</v>
      </c>
      <c r="C60" s="48">
        <v>59</v>
      </c>
      <c r="D60" s="48" t="s">
        <v>55</v>
      </c>
      <c r="E60" s="48" t="s">
        <v>772</v>
      </c>
      <c r="F60" s="48">
        <v>0</v>
      </c>
      <c r="G60" s="48">
        <v>-16.399999999999999</v>
      </c>
      <c r="H60" s="48">
        <v>0</v>
      </c>
      <c r="I60" s="48">
        <v>1</v>
      </c>
      <c r="O60" s="56"/>
      <c r="Q60" s="56"/>
    </row>
    <row r="61" spans="1:17" ht="16.350000000000001" customHeight="1" x14ac:dyDescent="0.25">
      <c r="A61" s="55">
        <v>38</v>
      </c>
      <c r="B61" s="55">
        <v>31</v>
      </c>
      <c r="C61" s="48">
        <v>60</v>
      </c>
      <c r="D61" s="48" t="s">
        <v>39</v>
      </c>
      <c r="E61" s="48">
        <v>0</v>
      </c>
      <c r="F61" s="48">
        <v>0</v>
      </c>
      <c r="G61" s="48">
        <v>2</v>
      </c>
      <c r="H61" s="48">
        <v>5000</v>
      </c>
      <c r="Q61" s="56"/>
    </row>
    <row r="62" spans="1:17" ht="16.350000000000001" customHeight="1" x14ac:dyDescent="0.25">
      <c r="A62" s="55">
        <v>38</v>
      </c>
      <c r="B62" s="55">
        <v>32</v>
      </c>
      <c r="C62" s="48">
        <v>61</v>
      </c>
      <c r="D62" s="48" t="s">
        <v>1</v>
      </c>
      <c r="E62" s="48" t="s">
        <v>18</v>
      </c>
      <c r="F62" s="48" t="s">
        <v>100</v>
      </c>
      <c r="G62" s="48" t="s">
        <v>100</v>
      </c>
      <c r="H62" s="48" t="s">
        <v>100</v>
      </c>
      <c r="I62" s="48" t="s">
        <v>100</v>
      </c>
      <c r="J62" s="48" t="s">
        <v>759</v>
      </c>
      <c r="K62" s="48" t="s">
        <v>100</v>
      </c>
      <c r="L62" s="48" t="s">
        <v>19</v>
      </c>
      <c r="M62" s="48">
        <v>3.75</v>
      </c>
      <c r="N62" s="48">
        <v>2.8</v>
      </c>
      <c r="Q62" s="56"/>
    </row>
    <row r="63" spans="1:17" ht="16.350000000000001" customHeight="1" x14ac:dyDescent="0.25">
      <c r="A63" s="55">
        <v>38</v>
      </c>
      <c r="B63" s="55">
        <v>33</v>
      </c>
      <c r="C63" s="48">
        <v>62</v>
      </c>
      <c r="D63" s="48" t="s">
        <v>1</v>
      </c>
      <c r="E63" s="48" t="s">
        <v>18</v>
      </c>
      <c r="F63" s="48" t="s">
        <v>100</v>
      </c>
      <c r="G63" s="48" t="s">
        <v>100</v>
      </c>
      <c r="H63" s="48" t="s">
        <v>100</v>
      </c>
      <c r="I63" s="48" t="s">
        <v>744</v>
      </c>
      <c r="J63" s="48" t="s">
        <v>100</v>
      </c>
      <c r="K63" s="48" t="s">
        <v>100</v>
      </c>
      <c r="L63" s="48" t="s">
        <v>19</v>
      </c>
      <c r="M63" s="48">
        <v>3.75</v>
      </c>
      <c r="N63" s="48">
        <v>2.8</v>
      </c>
      <c r="Q63" s="56"/>
    </row>
    <row r="64" spans="1:17" ht="16.350000000000001" customHeight="1" x14ac:dyDescent="0.25">
      <c r="A64" s="55">
        <v>38</v>
      </c>
      <c r="B64" s="55">
        <v>34</v>
      </c>
      <c r="C64" s="48">
        <v>63</v>
      </c>
      <c r="D64" s="48" t="s">
        <v>1</v>
      </c>
      <c r="E64" s="48" t="s">
        <v>18</v>
      </c>
      <c r="F64" s="48" t="s">
        <v>100</v>
      </c>
      <c r="G64" s="48" t="s">
        <v>100</v>
      </c>
      <c r="H64" s="48" t="s">
        <v>100</v>
      </c>
      <c r="I64" s="48" t="s">
        <v>100</v>
      </c>
      <c r="J64" s="48" t="s">
        <v>364</v>
      </c>
      <c r="K64" s="48" t="s">
        <v>100</v>
      </c>
      <c r="L64" s="48" t="s">
        <v>19</v>
      </c>
      <c r="M64" s="48">
        <v>3.75</v>
      </c>
      <c r="N64" s="48">
        <v>2.8</v>
      </c>
      <c r="Q64" s="56"/>
    </row>
    <row r="65" spans="1:17" ht="16.350000000000001" customHeight="1" x14ac:dyDescent="0.25">
      <c r="A65" s="55">
        <v>38</v>
      </c>
      <c r="B65" s="55">
        <v>35</v>
      </c>
      <c r="C65" s="48">
        <v>64</v>
      </c>
      <c r="D65" s="48" t="s">
        <v>1</v>
      </c>
      <c r="E65" s="48" t="s">
        <v>18</v>
      </c>
      <c r="F65" s="48" t="s">
        <v>100</v>
      </c>
      <c r="G65" s="48" t="s">
        <v>100</v>
      </c>
      <c r="H65" s="48" t="s">
        <v>100</v>
      </c>
      <c r="I65" s="48" t="s">
        <v>697</v>
      </c>
      <c r="J65" s="48" t="s">
        <v>100</v>
      </c>
      <c r="K65" s="48" t="s">
        <v>100</v>
      </c>
      <c r="L65" s="48" t="s">
        <v>19</v>
      </c>
      <c r="M65" s="48">
        <v>3.75</v>
      </c>
      <c r="N65" s="48">
        <v>2.8</v>
      </c>
      <c r="Q65" s="56"/>
    </row>
    <row r="66" spans="1:17" ht="16.350000000000001" customHeight="1" x14ac:dyDescent="0.25">
      <c r="A66" s="55">
        <v>38</v>
      </c>
      <c r="B66" s="55">
        <v>36</v>
      </c>
      <c r="C66" s="48">
        <v>65</v>
      </c>
      <c r="D66" s="48" t="s">
        <v>55</v>
      </c>
      <c r="E66" s="48" t="s">
        <v>773</v>
      </c>
      <c r="F66" s="48">
        <v>0</v>
      </c>
      <c r="G66" s="48">
        <v>16.399999999999999</v>
      </c>
      <c r="H66" s="48">
        <v>0</v>
      </c>
      <c r="I66" s="48">
        <v>1</v>
      </c>
    </row>
    <row r="67" spans="1:17" ht="16.350000000000001" customHeight="1" x14ac:dyDescent="0.25">
      <c r="A67" s="55">
        <v>38</v>
      </c>
      <c r="B67" s="55">
        <v>37</v>
      </c>
      <c r="C67" s="48">
        <v>66</v>
      </c>
      <c r="D67" s="48" t="s">
        <v>39</v>
      </c>
      <c r="E67" s="48">
        <v>0</v>
      </c>
      <c r="F67" s="48">
        <v>0</v>
      </c>
      <c r="G67" s="48">
        <v>4</v>
      </c>
      <c r="H67" s="48">
        <v>5000</v>
      </c>
      <c r="Q67" s="56"/>
    </row>
    <row r="68" spans="1:17" ht="16.350000000000001" customHeight="1" x14ac:dyDescent="0.25">
      <c r="A68" s="55">
        <v>38</v>
      </c>
      <c r="B68" s="55">
        <v>9</v>
      </c>
      <c r="C68" s="48">
        <v>67</v>
      </c>
      <c r="D68" s="48" t="s">
        <v>49</v>
      </c>
      <c r="E68" s="48" t="s">
        <v>203</v>
      </c>
      <c r="F68" s="48">
        <v>3</v>
      </c>
    </row>
    <row r="69" spans="1:17" ht="16.350000000000001" customHeight="1" x14ac:dyDescent="0.25">
      <c r="A69" s="55">
        <v>38</v>
      </c>
      <c r="B69" s="55">
        <v>10</v>
      </c>
      <c r="C69" s="48">
        <v>68</v>
      </c>
      <c r="D69" s="48" t="s">
        <v>1</v>
      </c>
      <c r="E69" s="48" t="s">
        <v>18</v>
      </c>
      <c r="F69" s="48">
        <v>140</v>
      </c>
      <c r="G69" s="48">
        <v>140</v>
      </c>
      <c r="H69" s="48">
        <v>8.0000000001</v>
      </c>
      <c r="I69" s="48" t="s">
        <v>100</v>
      </c>
      <c r="J69" s="48" t="s">
        <v>748</v>
      </c>
      <c r="K69" s="48" t="s">
        <v>100</v>
      </c>
      <c r="L69" s="48" t="s">
        <v>19</v>
      </c>
      <c r="M69" s="48">
        <v>3.75</v>
      </c>
      <c r="N69" s="48">
        <v>2.8</v>
      </c>
      <c r="Q69" s="56"/>
    </row>
    <row r="70" spans="1:17" ht="16.350000000000001" customHeight="1" x14ac:dyDescent="0.25">
      <c r="A70" s="55">
        <v>38</v>
      </c>
      <c r="B70" s="55">
        <v>11</v>
      </c>
      <c r="C70" s="48">
        <v>69</v>
      </c>
      <c r="D70" s="48" t="s">
        <v>1</v>
      </c>
      <c r="E70" s="48" t="s">
        <v>18</v>
      </c>
      <c r="F70" s="48" t="s">
        <v>100</v>
      </c>
      <c r="G70" s="48" t="s">
        <v>100</v>
      </c>
      <c r="H70" s="48" t="s">
        <v>100</v>
      </c>
      <c r="I70" s="48" t="s">
        <v>697</v>
      </c>
      <c r="J70" s="48" t="s">
        <v>100</v>
      </c>
      <c r="K70" s="48" t="s">
        <v>100</v>
      </c>
      <c r="L70" s="48" t="s">
        <v>19</v>
      </c>
      <c r="M70" s="48">
        <v>3.75</v>
      </c>
      <c r="N70" s="48">
        <v>2.8</v>
      </c>
      <c r="Q70" s="56"/>
    </row>
    <row r="71" spans="1:17" ht="16.350000000000001" customHeight="1" x14ac:dyDescent="0.25">
      <c r="A71" s="55">
        <v>38</v>
      </c>
      <c r="B71" s="55">
        <v>12</v>
      </c>
      <c r="C71" s="48">
        <v>70</v>
      </c>
      <c r="D71" s="48" t="s">
        <v>1</v>
      </c>
      <c r="E71" s="48" t="s">
        <v>18</v>
      </c>
      <c r="F71" s="48" t="s">
        <v>100</v>
      </c>
      <c r="G71" s="48" t="s">
        <v>100</v>
      </c>
      <c r="H71" s="48" t="s">
        <v>100</v>
      </c>
      <c r="I71" s="48" t="s">
        <v>100</v>
      </c>
      <c r="J71" s="48" t="s">
        <v>749</v>
      </c>
      <c r="K71" s="48" t="s">
        <v>100</v>
      </c>
      <c r="L71" s="48" t="s">
        <v>19</v>
      </c>
      <c r="M71" s="48">
        <v>3.75</v>
      </c>
      <c r="N71" s="48">
        <v>2.8</v>
      </c>
      <c r="O71" s="56"/>
      <c r="Q71" s="56"/>
    </row>
    <row r="72" spans="1:17" ht="16.350000000000001" customHeight="1" x14ac:dyDescent="0.25">
      <c r="A72" s="55">
        <v>38</v>
      </c>
      <c r="B72" s="55">
        <v>13</v>
      </c>
      <c r="C72" s="48">
        <v>71</v>
      </c>
      <c r="D72" s="48" t="s">
        <v>1</v>
      </c>
      <c r="E72" s="48" t="s">
        <v>18</v>
      </c>
      <c r="F72" s="48" t="s">
        <v>100</v>
      </c>
      <c r="G72" s="48" t="s">
        <v>100</v>
      </c>
      <c r="H72" s="48" t="s">
        <v>100</v>
      </c>
      <c r="I72" s="48" t="s">
        <v>744</v>
      </c>
      <c r="J72" s="48" t="s">
        <v>100</v>
      </c>
      <c r="K72" s="48" t="s">
        <v>100</v>
      </c>
      <c r="L72" s="48" t="s">
        <v>19</v>
      </c>
      <c r="M72" s="48">
        <v>3.75</v>
      </c>
      <c r="N72" s="48">
        <v>2.8</v>
      </c>
    </row>
    <row r="73" spans="1:17" ht="16.350000000000001" customHeight="1" x14ac:dyDescent="0.25">
      <c r="A73" s="55">
        <v>38</v>
      </c>
      <c r="B73" s="55">
        <v>14</v>
      </c>
      <c r="C73" s="48">
        <v>72</v>
      </c>
      <c r="D73" s="48" t="s">
        <v>55</v>
      </c>
      <c r="E73" s="48" t="s">
        <v>774</v>
      </c>
      <c r="F73" s="48">
        <v>0</v>
      </c>
      <c r="G73" s="48">
        <v>-16.399999999999999</v>
      </c>
      <c r="H73" s="48">
        <v>0</v>
      </c>
      <c r="I73" s="48">
        <v>1</v>
      </c>
    </row>
    <row r="74" spans="1:17" ht="16.350000000000001" customHeight="1" x14ac:dyDescent="0.25">
      <c r="A74" s="55">
        <v>38</v>
      </c>
      <c r="B74" s="55">
        <v>15</v>
      </c>
      <c r="C74" s="48">
        <v>73</v>
      </c>
      <c r="D74" s="48" t="s">
        <v>39</v>
      </c>
      <c r="E74" s="48">
        <v>0</v>
      </c>
      <c r="F74" s="48">
        <v>0</v>
      </c>
      <c r="G74" s="48">
        <v>2</v>
      </c>
      <c r="H74" s="48">
        <v>5000</v>
      </c>
    </row>
    <row r="75" spans="1:17" ht="16.350000000000001" customHeight="1" x14ac:dyDescent="0.25">
      <c r="A75" s="55">
        <v>38</v>
      </c>
      <c r="B75" s="55">
        <v>16</v>
      </c>
      <c r="C75" s="48">
        <v>74</v>
      </c>
      <c r="D75" s="48" t="s">
        <v>1</v>
      </c>
      <c r="E75" s="48" t="s">
        <v>18</v>
      </c>
      <c r="F75" s="48" t="s">
        <v>100</v>
      </c>
      <c r="G75" s="48" t="s">
        <v>100</v>
      </c>
      <c r="H75" s="48" t="s">
        <v>100</v>
      </c>
      <c r="I75" s="48" t="s">
        <v>697</v>
      </c>
      <c r="J75" s="48" t="s">
        <v>100</v>
      </c>
      <c r="K75" s="48" t="s">
        <v>100</v>
      </c>
      <c r="L75" s="48" t="s">
        <v>19</v>
      </c>
      <c r="M75" s="48">
        <v>3.75</v>
      </c>
      <c r="N75" s="48">
        <v>2.8</v>
      </c>
    </row>
    <row r="76" spans="1:17" ht="16.350000000000001" customHeight="1" x14ac:dyDescent="0.25">
      <c r="A76" s="55">
        <v>38</v>
      </c>
      <c r="B76" s="55">
        <v>17</v>
      </c>
      <c r="C76" s="48">
        <v>75</v>
      </c>
      <c r="D76" s="48" t="s">
        <v>1</v>
      </c>
      <c r="E76" s="48" t="s">
        <v>18</v>
      </c>
      <c r="F76" s="48" t="s">
        <v>100</v>
      </c>
      <c r="G76" s="48" t="s">
        <v>100</v>
      </c>
      <c r="H76" s="48" t="s">
        <v>100</v>
      </c>
      <c r="I76" s="48" t="s">
        <v>100</v>
      </c>
      <c r="J76" s="48" t="s">
        <v>751</v>
      </c>
      <c r="K76" s="48" t="s">
        <v>100</v>
      </c>
      <c r="L76" s="48" t="s">
        <v>19</v>
      </c>
      <c r="M76" s="48">
        <v>3.75</v>
      </c>
      <c r="N76" s="48">
        <v>2.8</v>
      </c>
    </row>
    <row r="77" spans="1:17" ht="16.350000000000001" customHeight="1" x14ac:dyDescent="0.25">
      <c r="A77" s="55">
        <v>38</v>
      </c>
      <c r="B77" s="55">
        <v>18</v>
      </c>
      <c r="C77" s="48">
        <v>76</v>
      </c>
      <c r="D77" s="48" t="s">
        <v>1</v>
      </c>
      <c r="E77" s="48" t="s">
        <v>18</v>
      </c>
      <c r="F77" s="48" t="s">
        <v>100</v>
      </c>
      <c r="G77" s="48" t="s">
        <v>100</v>
      </c>
      <c r="H77" s="48" t="s">
        <v>100</v>
      </c>
      <c r="I77" s="48" t="s">
        <v>744</v>
      </c>
      <c r="J77" s="48" t="s">
        <v>100</v>
      </c>
      <c r="K77" s="48" t="s">
        <v>100</v>
      </c>
      <c r="L77" s="48" t="s">
        <v>19</v>
      </c>
      <c r="M77" s="48">
        <v>3.75</v>
      </c>
      <c r="N77" s="48">
        <v>2.8</v>
      </c>
    </row>
    <row r="78" spans="1:17" ht="16.350000000000001" customHeight="1" x14ac:dyDescent="0.25">
      <c r="A78" s="55">
        <v>38</v>
      </c>
      <c r="B78" s="55">
        <v>19</v>
      </c>
      <c r="C78" s="48">
        <v>77</v>
      </c>
      <c r="D78" s="48" t="s">
        <v>1</v>
      </c>
      <c r="E78" s="48" t="s">
        <v>18</v>
      </c>
      <c r="F78" s="48" t="s">
        <v>100</v>
      </c>
      <c r="G78" s="48" t="s">
        <v>100</v>
      </c>
      <c r="H78" s="48" t="s">
        <v>100</v>
      </c>
      <c r="I78" s="48" t="s">
        <v>100</v>
      </c>
      <c r="J78" s="48" t="s">
        <v>752</v>
      </c>
      <c r="K78" s="48" t="s">
        <v>100</v>
      </c>
      <c r="L78" s="48" t="s">
        <v>19</v>
      </c>
      <c r="M78" s="48">
        <v>3.75</v>
      </c>
      <c r="N78" s="48">
        <v>2.8</v>
      </c>
    </row>
    <row r="79" spans="1:17" ht="16.350000000000001" customHeight="1" x14ac:dyDescent="0.25">
      <c r="A79" s="55">
        <v>38</v>
      </c>
      <c r="B79" s="55">
        <v>20</v>
      </c>
      <c r="C79" s="48">
        <v>78</v>
      </c>
      <c r="D79" s="48" t="s">
        <v>55</v>
      </c>
      <c r="E79" s="48" t="s">
        <v>775</v>
      </c>
      <c r="F79" s="48">
        <v>0</v>
      </c>
      <c r="G79" s="48">
        <v>16.399999999999999</v>
      </c>
      <c r="H79" s="48">
        <v>0</v>
      </c>
      <c r="I79" s="48">
        <v>1</v>
      </c>
    </row>
    <row r="80" spans="1:17" ht="16.350000000000001" customHeight="1" x14ac:dyDescent="0.25">
      <c r="A80" s="55">
        <v>38</v>
      </c>
      <c r="B80" s="55">
        <v>21</v>
      </c>
      <c r="C80" s="48">
        <v>79</v>
      </c>
      <c r="D80" s="48" t="s">
        <v>698</v>
      </c>
      <c r="E80" s="48">
        <v>0.35</v>
      </c>
      <c r="F80" s="48">
        <v>80</v>
      </c>
      <c r="G80" s="48">
        <v>4</v>
      </c>
      <c r="H80" s="48">
        <v>5000</v>
      </c>
    </row>
    <row r="81" spans="1:15" ht="16.350000000000001" customHeight="1" x14ac:dyDescent="0.25">
      <c r="A81" s="55">
        <v>38</v>
      </c>
      <c r="B81" s="55">
        <v>22</v>
      </c>
      <c r="C81" s="48">
        <v>80</v>
      </c>
      <c r="D81" s="48" t="s">
        <v>49</v>
      </c>
      <c r="E81" s="48" t="s">
        <v>203</v>
      </c>
      <c r="F81" s="48">
        <v>2</v>
      </c>
    </row>
    <row r="82" spans="1:15" ht="16.350000000000001" customHeight="1" x14ac:dyDescent="0.25">
      <c r="A82" s="55">
        <v>38</v>
      </c>
      <c r="B82" s="55">
        <v>23</v>
      </c>
      <c r="C82" s="48">
        <v>81</v>
      </c>
      <c r="D82" s="48" t="s">
        <v>1</v>
      </c>
      <c r="E82" s="48" t="s">
        <v>18</v>
      </c>
      <c r="F82" s="48" t="s">
        <v>100</v>
      </c>
      <c r="G82" s="48" t="s">
        <v>100</v>
      </c>
      <c r="H82" s="48" t="s">
        <v>100</v>
      </c>
      <c r="I82" s="48" t="s">
        <v>100</v>
      </c>
      <c r="J82" s="48" t="s">
        <v>100</v>
      </c>
      <c r="K82" s="48">
        <v>10</v>
      </c>
      <c r="L82" s="48" t="s">
        <v>23</v>
      </c>
      <c r="M82" s="48">
        <v>3.75</v>
      </c>
      <c r="N82" s="48">
        <v>2.8</v>
      </c>
      <c r="O82" s="56"/>
    </row>
    <row r="83" spans="1:15" ht="16.350000000000001" customHeight="1" x14ac:dyDescent="0.25">
      <c r="A83" s="55">
        <v>38</v>
      </c>
      <c r="B83" s="55">
        <v>24</v>
      </c>
      <c r="C83" s="48">
        <v>82</v>
      </c>
      <c r="D83" s="48" t="s">
        <v>172</v>
      </c>
      <c r="E83" s="48" t="s">
        <v>712</v>
      </c>
      <c r="F83" s="48">
        <v>155</v>
      </c>
      <c r="G83" s="48" t="s">
        <v>714</v>
      </c>
      <c r="H83" s="48">
        <v>0</v>
      </c>
      <c r="I83" s="48">
        <v>1</v>
      </c>
      <c r="J83" s="48">
        <v>1</v>
      </c>
      <c r="K83" s="48">
        <v>3.75</v>
      </c>
      <c r="L83" s="48">
        <v>2.8</v>
      </c>
    </row>
    <row r="84" spans="1:15" ht="16.350000000000001" customHeight="1" x14ac:dyDescent="0.25">
      <c r="A84" s="55">
        <v>38</v>
      </c>
      <c r="B84" s="55">
        <v>25</v>
      </c>
      <c r="C84" s="48">
        <v>83</v>
      </c>
      <c r="D84" s="48" t="s">
        <v>1</v>
      </c>
      <c r="E84" s="48" t="s">
        <v>18</v>
      </c>
      <c r="F84" s="48" t="s">
        <v>100</v>
      </c>
      <c r="G84" s="48" t="s">
        <v>100</v>
      </c>
      <c r="H84" s="48" t="s">
        <v>100</v>
      </c>
      <c r="I84" s="48">
        <v>275</v>
      </c>
      <c r="J84" s="48">
        <v>135</v>
      </c>
      <c r="K84" s="48">
        <v>10</v>
      </c>
      <c r="L84" s="48" t="s">
        <v>19</v>
      </c>
      <c r="M84" s="48">
        <v>3.75</v>
      </c>
      <c r="N84" s="48">
        <v>2.8</v>
      </c>
    </row>
    <row r="85" spans="1:15" ht="16.350000000000001" customHeight="1" x14ac:dyDescent="0.25">
      <c r="A85" s="55">
        <v>38</v>
      </c>
      <c r="B85" s="55">
        <v>26</v>
      </c>
      <c r="C85" s="48">
        <v>84</v>
      </c>
      <c r="D85" s="48" t="s">
        <v>1</v>
      </c>
      <c r="E85" s="48" t="s">
        <v>18</v>
      </c>
      <c r="F85" s="48" t="s">
        <v>100</v>
      </c>
      <c r="G85" s="48" t="s">
        <v>100</v>
      </c>
      <c r="H85" s="48" t="s">
        <v>100</v>
      </c>
      <c r="I85" s="48" t="s">
        <v>744</v>
      </c>
      <c r="J85" s="48" t="s">
        <v>100</v>
      </c>
      <c r="K85" s="48" t="s">
        <v>100</v>
      </c>
      <c r="L85" s="48" t="s">
        <v>19</v>
      </c>
      <c r="M85" s="48">
        <v>3.75</v>
      </c>
      <c r="N85" s="48">
        <v>2.8</v>
      </c>
    </row>
    <row r="86" spans="1:15" ht="16.350000000000001" customHeight="1" x14ac:dyDescent="0.25">
      <c r="A86" s="55">
        <v>38</v>
      </c>
      <c r="B86" s="55">
        <v>27</v>
      </c>
      <c r="C86" s="48">
        <v>85</v>
      </c>
      <c r="D86" s="48" t="s">
        <v>1</v>
      </c>
      <c r="E86" s="48" t="s">
        <v>18</v>
      </c>
      <c r="F86" s="48" t="s">
        <v>100</v>
      </c>
      <c r="G86" s="48" t="s">
        <v>100</v>
      </c>
      <c r="H86" s="48" t="s">
        <v>100</v>
      </c>
      <c r="I86" s="48" t="s">
        <v>100</v>
      </c>
      <c r="J86" s="48" t="s">
        <v>745</v>
      </c>
      <c r="K86" s="48" t="s">
        <v>100</v>
      </c>
      <c r="L86" s="48" t="s">
        <v>19</v>
      </c>
      <c r="M86" s="48">
        <v>3.75</v>
      </c>
      <c r="N86" s="48">
        <v>2.8</v>
      </c>
    </row>
    <row r="87" spans="1:15" ht="16.350000000000001" customHeight="1" x14ac:dyDescent="0.25">
      <c r="A87" s="55">
        <v>38</v>
      </c>
      <c r="B87" s="55">
        <v>28</v>
      </c>
      <c r="C87" s="48">
        <v>86</v>
      </c>
      <c r="D87" s="48" t="s">
        <v>1</v>
      </c>
      <c r="E87" s="48" t="s">
        <v>18</v>
      </c>
      <c r="F87" s="48" t="s">
        <v>100</v>
      </c>
      <c r="G87" s="48" t="s">
        <v>100</v>
      </c>
      <c r="H87" s="48" t="s">
        <v>100</v>
      </c>
      <c r="I87" s="48" t="s">
        <v>697</v>
      </c>
      <c r="J87" s="48" t="s">
        <v>100</v>
      </c>
      <c r="K87" s="48" t="s">
        <v>100</v>
      </c>
      <c r="L87" s="48" t="s">
        <v>19</v>
      </c>
      <c r="M87" s="48">
        <v>3.75</v>
      </c>
      <c r="N87" s="48">
        <v>2.8</v>
      </c>
    </row>
    <row r="88" spans="1:15" ht="16.350000000000001" customHeight="1" x14ac:dyDescent="0.25">
      <c r="A88" s="55">
        <v>38</v>
      </c>
      <c r="B88" s="55">
        <v>29</v>
      </c>
      <c r="C88" s="48">
        <v>87</v>
      </c>
      <c r="D88" s="48" t="s">
        <v>1</v>
      </c>
      <c r="E88" s="48" t="s">
        <v>18</v>
      </c>
      <c r="F88" s="48" t="s">
        <v>100</v>
      </c>
      <c r="G88" s="48" t="s">
        <v>100</v>
      </c>
      <c r="H88" s="48" t="s">
        <v>100</v>
      </c>
      <c r="I88" s="48" t="s">
        <v>100</v>
      </c>
      <c r="J88" s="48" t="s">
        <v>746</v>
      </c>
      <c r="K88" s="48" t="s">
        <v>100</v>
      </c>
      <c r="L88" s="48" t="s">
        <v>19</v>
      </c>
      <c r="M88" s="48">
        <v>3.75</v>
      </c>
      <c r="N88" s="48">
        <v>2.8</v>
      </c>
    </row>
    <row r="89" spans="1:15" ht="16.350000000000001" customHeight="1" x14ac:dyDescent="0.25">
      <c r="A89" s="55">
        <v>38</v>
      </c>
      <c r="B89" s="55">
        <v>30</v>
      </c>
      <c r="C89" s="48">
        <v>88</v>
      </c>
      <c r="D89" s="48" t="s">
        <v>55</v>
      </c>
      <c r="E89" s="48" t="s">
        <v>776</v>
      </c>
      <c r="F89" s="48">
        <v>0</v>
      </c>
      <c r="G89" s="48">
        <v>-16.399999999999999</v>
      </c>
      <c r="H89" s="48">
        <v>0</v>
      </c>
      <c r="I89" s="48">
        <v>1</v>
      </c>
    </row>
    <row r="90" spans="1:15" ht="16.350000000000001" customHeight="1" x14ac:dyDescent="0.25">
      <c r="A90" s="55">
        <v>38</v>
      </c>
      <c r="B90" s="55">
        <v>31</v>
      </c>
      <c r="C90" s="48">
        <v>89</v>
      </c>
      <c r="D90" s="48" t="s">
        <v>39</v>
      </c>
      <c r="E90" s="48">
        <v>0</v>
      </c>
      <c r="F90" s="48">
        <v>0</v>
      </c>
      <c r="G90" s="48">
        <v>2</v>
      </c>
      <c r="H90" s="48">
        <v>5000</v>
      </c>
    </row>
    <row r="91" spans="1:15" ht="16.350000000000001" customHeight="1" x14ac:dyDescent="0.25">
      <c r="A91" s="55">
        <v>38</v>
      </c>
      <c r="B91" s="55">
        <v>32</v>
      </c>
      <c r="C91" s="48">
        <v>90</v>
      </c>
      <c r="D91" s="48" t="s">
        <v>1</v>
      </c>
      <c r="E91" s="48" t="s">
        <v>18</v>
      </c>
      <c r="F91" s="48" t="s">
        <v>100</v>
      </c>
      <c r="G91" s="48" t="s">
        <v>100</v>
      </c>
      <c r="H91" s="48" t="s">
        <v>100</v>
      </c>
      <c r="I91" s="48" t="s">
        <v>100</v>
      </c>
      <c r="J91" s="48" t="s">
        <v>759</v>
      </c>
      <c r="K91" s="48" t="s">
        <v>100</v>
      </c>
      <c r="L91" s="48" t="s">
        <v>19</v>
      </c>
      <c r="M91" s="48">
        <v>3.75</v>
      </c>
      <c r="N91" s="48">
        <v>2.8</v>
      </c>
    </row>
    <row r="92" spans="1:15" ht="16.350000000000001" customHeight="1" x14ac:dyDescent="0.25">
      <c r="A92" s="55">
        <v>38</v>
      </c>
      <c r="B92" s="55">
        <v>33</v>
      </c>
      <c r="C92" s="48">
        <v>91</v>
      </c>
      <c r="D92" s="48" t="s">
        <v>1</v>
      </c>
      <c r="E92" s="48" t="s">
        <v>18</v>
      </c>
      <c r="F92" s="48" t="s">
        <v>100</v>
      </c>
      <c r="G92" s="48" t="s">
        <v>100</v>
      </c>
      <c r="H92" s="48" t="s">
        <v>100</v>
      </c>
      <c r="I92" s="48" t="s">
        <v>744</v>
      </c>
      <c r="J92" s="48" t="s">
        <v>100</v>
      </c>
      <c r="K92" s="48" t="s">
        <v>100</v>
      </c>
      <c r="L92" s="48" t="s">
        <v>19</v>
      </c>
      <c r="M92" s="48">
        <v>3.75</v>
      </c>
      <c r="N92" s="48">
        <v>2.8</v>
      </c>
    </row>
    <row r="93" spans="1:15" ht="16.350000000000001" customHeight="1" x14ac:dyDescent="0.25">
      <c r="A93" s="55">
        <v>38</v>
      </c>
      <c r="B93" s="55">
        <v>34</v>
      </c>
      <c r="C93" s="48">
        <v>92</v>
      </c>
      <c r="D93" s="48" t="s">
        <v>1</v>
      </c>
      <c r="E93" s="48" t="s">
        <v>18</v>
      </c>
      <c r="F93" s="48" t="s">
        <v>100</v>
      </c>
      <c r="G93" s="48" t="s">
        <v>100</v>
      </c>
      <c r="H93" s="48" t="s">
        <v>100</v>
      </c>
      <c r="I93" s="48" t="s">
        <v>100</v>
      </c>
      <c r="J93" s="48" t="s">
        <v>364</v>
      </c>
      <c r="K93" s="48" t="s">
        <v>100</v>
      </c>
      <c r="L93" s="48" t="s">
        <v>19</v>
      </c>
      <c r="M93" s="48">
        <v>3.75</v>
      </c>
      <c r="N93" s="48">
        <v>2.8</v>
      </c>
      <c r="O93" s="56"/>
    </row>
    <row r="94" spans="1:15" ht="16.350000000000001" customHeight="1" x14ac:dyDescent="0.25">
      <c r="A94" s="55">
        <v>38</v>
      </c>
      <c r="B94" s="55">
        <v>35</v>
      </c>
      <c r="C94" s="48">
        <v>93</v>
      </c>
      <c r="D94" s="48" t="s">
        <v>1</v>
      </c>
      <c r="E94" s="48" t="s">
        <v>18</v>
      </c>
      <c r="F94" s="48" t="s">
        <v>100</v>
      </c>
      <c r="G94" s="48" t="s">
        <v>100</v>
      </c>
      <c r="H94" s="48" t="s">
        <v>100</v>
      </c>
      <c r="I94" s="48" t="s">
        <v>697</v>
      </c>
      <c r="J94" s="48" t="s">
        <v>100</v>
      </c>
      <c r="K94" s="48" t="s">
        <v>100</v>
      </c>
      <c r="L94" s="48" t="s">
        <v>19</v>
      </c>
      <c r="M94" s="48">
        <v>3.75</v>
      </c>
      <c r="N94" s="48">
        <v>2.8</v>
      </c>
    </row>
    <row r="95" spans="1:15" ht="16.350000000000001" customHeight="1" x14ac:dyDescent="0.25">
      <c r="A95" s="55">
        <v>38</v>
      </c>
      <c r="B95" s="55">
        <v>36</v>
      </c>
      <c r="C95" s="48">
        <v>94</v>
      </c>
      <c r="D95" s="48" t="s">
        <v>55</v>
      </c>
      <c r="E95" s="48" t="s">
        <v>777</v>
      </c>
      <c r="F95" s="48">
        <v>0</v>
      </c>
      <c r="G95" s="48">
        <v>16.399999999999999</v>
      </c>
      <c r="H95" s="48">
        <v>0</v>
      </c>
      <c r="I95" s="48">
        <v>1</v>
      </c>
    </row>
    <row r="96" spans="1:15" ht="16.350000000000001" customHeight="1" x14ac:dyDescent="0.25">
      <c r="A96" s="55">
        <v>38</v>
      </c>
      <c r="B96" s="55">
        <v>37</v>
      </c>
      <c r="C96" s="48">
        <v>95</v>
      </c>
      <c r="D96" s="48" t="s">
        <v>39</v>
      </c>
      <c r="E96" s="48">
        <v>0</v>
      </c>
      <c r="F96" s="48">
        <v>0</v>
      </c>
      <c r="G96" s="48">
        <v>4</v>
      </c>
      <c r="H96" s="48">
        <v>5000</v>
      </c>
    </row>
    <row r="97" spans="1:15" ht="16.350000000000001" customHeight="1" x14ac:dyDescent="0.25">
      <c r="A97" s="55">
        <v>38</v>
      </c>
      <c r="B97" s="55">
        <v>9</v>
      </c>
      <c r="C97" s="48">
        <v>96</v>
      </c>
      <c r="D97" s="48" t="s">
        <v>49</v>
      </c>
      <c r="E97" s="48" t="s">
        <v>203</v>
      </c>
      <c r="F97" s="48">
        <v>3</v>
      </c>
    </row>
    <row r="98" spans="1:15" ht="16.350000000000001" customHeight="1" x14ac:dyDescent="0.25">
      <c r="A98" s="55">
        <v>38</v>
      </c>
      <c r="B98" s="55">
        <v>10</v>
      </c>
      <c r="C98" s="48">
        <v>97</v>
      </c>
      <c r="D98" s="48" t="s">
        <v>1</v>
      </c>
      <c r="E98" s="48" t="s">
        <v>18</v>
      </c>
      <c r="F98" s="48">
        <v>140</v>
      </c>
      <c r="G98" s="48">
        <v>140</v>
      </c>
      <c r="H98" s="48">
        <v>12.0000000001</v>
      </c>
      <c r="I98" s="48" t="s">
        <v>100</v>
      </c>
      <c r="J98" s="48" t="s">
        <v>748</v>
      </c>
      <c r="K98" s="48" t="s">
        <v>100</v>
      </c>
      <c r="L98" s="48" t="s">
        <v>19</v>
      </c>
      <c r="M98" s="48">
        <v>3.75</v>
      </c>
      <c r="N98" s="48">
        <v>2.8</v>
      </c>
    </row>
    <row r="99" spans="1:15" ht="16.350000000000001" customHeight="1" x14ac:dyDescent="0.25">
      <c r="A99" s="55">
        <v>38</v>
      </c>
      <c r="B99" s="55">
        <v>11</v>
      </c>
      <c r="C99" s="48">
        <v>98</v>
      </c>
      <c r="D99" s="48" t="s">
        <v>1</v>
      </c>
      <c r="E99" s="48" t="s">
        <v>18</v>
      </c>
      <c r="F99" s="48" t="s">
        <v>100</v>
      </c>
      <c r="G99" s="48" t="s">
        <v>100</v>
      </c>
      <c r="H99" s="48" t="s">
        <v>100</v>
      </c>
      <c r="I99" s="48" t="s">
        <v>697</v>
      </c>
      <c r="J99" s="48" t="s">
        <v>100</v>
      </c>
      <c r="K99" s="48" t="s">
        <v>100</v>
      </c>
      <c r="L99" s="48" t="s">
        <v>19</v>
      </c>
      <c r="M99" s="48">
        <v>3.75</v>
      </c>
      <c r="N99" s="48">
        <v>2.8</v>
      </c>
    </row>
    <row r="100" spans="1:15" ht="16.350000000000001" customHeight="1" x14ac:dyDescent="0.25">
      <c r="A100" s="55">
        <v>38</v>
      </c>
      <c r="B100" s="55">
        <v>12</v>
      </c>
      <c r="C100" s="48">
        <v>99</v>
      </c>
      <c r="D100" s="48" t="s">
        <v>1</v>
      </c>
      <c r="E100" s="48" t="s">
        <v>18</v>
      </c>
      <c r="F100" s="48" t="s">
        <v>100</v>
      </c>
      <c r="G100" s="48" t="s">
        <v>100</v>
      </c>
      <c r="H100" s="48" t="s">
        <v>100</v>
      </c>
      <c r="I100" s="48" t="s">
        <v>100</v>
      </c>
      <c r="J100" s="48" t="s">
        <v>749</v>
      </c>
      <c r="K100" s="48" t="s">
        <v>100</v>
      </c>
      <c r="L100" s="48" t="s">
        <v>19</v>
      </c>
      <c r="M100" s="48">
        <v>3.75</v>
      </c>
      <c r="N100" s="48">
        <v>2.8</v>
      </c>
    </row>
    <row r="101" spans="1:15" ht="16.350000000000001" customHeight="1" x14ac:dyDescent="0.25">
      <c r="A101" s="55">
        <v>38</v>
      </c>
      <c r="B101" s="55">
        <v>13</v>
      </c>
      <c r="C101" s="48">
        <v>100</v>
      </c>
      <c r="D101" s="48" t="s">
        <v>1</v>
      </c>
      <c r="E101" s="48" t="s">
        <v>18</v>
      </c>
      <c r="F101" s="48" t="s">
        <v>100</v>
      </c>
      <c r="G101" s="48" t="s">
        <v>100</v>
      </c>
      <c r="H101" s="48" t="s">
        <v>100</v>
      </c>
      <c r="I101" s="48" t="s">
        <v>744</v>
      </c>
      <c r="J101" s="48" t="s">
        <v>100</v>
      </c>
      <c r="K101" s="48" t="s">
        <v>100</v>
      </c>
      <c r="L101" s="48" t="s">
        <v>19</v>
      </c>
      <c r="M101" s="48">
        <v>3.75</v>
      </c>
      <c r="N101" s="48">
        <v>2.8</v>
      </c>
    </row>
    <row r="102" spans="1:15" ht="16.350000000000001" customHeight="1" x14ac:dyDescent="0.25">
      <c r="A102" s="55">
        <v>38</v>
      </c>
      <c r="B102" s="55">
        <v>14</v>
      </c>
      <c r="C102" s="48">
        <v>101</v>
      </c>
      <c r="D102" s="48" t="s">
        <v>55</v>
      </c>
      <c r="E102" s="48" t="s">
        <v>760</v>
      </c>
      <c r="F102" s="48">
        <v>0</v>
      </c>
      <c r="G102" s="48">
        <v>-16.399999999999999</v>
      </c>
      <c r="H102" s="48">
        <v>0</v>
      </c>
      <c r="I102" s="48">
        <v>1</v>
      </c>
    </row>
    <row r="103" spans="1:15" ht="16.350000000000001" customHeight="1" x14ac:dyDescent="0.25">
      <c r="A103" s="55">
        <v>38</v>
      </c>
      <c r="B103" s="55">
        <v>15</v>
      </c>
      <c r="C103" s="48">
        <v>102</v>
      </c>
      <c r="D103" s="48" t="s">
        <v>39</v>
      </c>
      <c r="E103" s="48">
        <v>0</v>
      </c>
      <c r="F103" s="48">
        <v>0</v>
      </c>
      <c r="G103" s="48">
        <v>2</v>
      </c>
      <c r="H103" s="48">
        <v>5000</v>
      </c>
    </row>
    <row r="104" spans="1:15" ht="16.350000000000001" customHeight="1" x14ac:dyDescent="0.25">
      <c r="A104" s="55">
        <v>38</v>
      </c>
      <c r="B104" s="55">
        <v>16</v>
      </c>
      <c r="C104" s="48">
        <v>103</v>
      </c>
      <c r="D104" s="48" t="s">
        <v>1</v>
      </c>
      <c r="E104" s="48" t="s">
        <v>18</v>
      </c>
      <c r="F104" s="48" t="s">
        <v>100</v>
      </c>
      <c r="G104" s="48" t="s">
        <v>100</v>
      </c>
      <c r="H104" s="48" t="s">
        <v>100</v>
      </c>
      <c r="I104" s="48" t="s">
        <v>697</v>
      </c>
      <c r="J104" s="48" t="s">
        <v>100</v>
      </c>
      <c r="K104" s="48" t="s">
        <v>100</v>
      </c>
      <c r="L104" s="48" t="s">
        <v>19</v>
      </c>
      <c r="M104" s="48">
        <v>3.75</v>
      </c>
      <c r="N104" s="48">
        <v>2.8</v>
      </c>
      <c r="O104" s="56"/>
    </row>
    <row r="105" spans="1:15" ht="16.350000000000001" customHeight="1" x14ac:dyDescent="0.25">
      <c r="A105" s="55">
        <v>38</v>
      </c>
      <c r="B105" s="55">
        <v>17</v>
      </c>
      <c r="C105" s="48">
        <v>104</v>
      </c>
      <c r="D105" s="48" t="s">
        <v>1</v>
      </c>
      <c r="E105" s="48" t="s">
        <v>18</v>
      </c>
      <c r="F105" s="48" t="s">
        <v>100</v>
      </c>
      <c r="G105" s="48" t="s">
        <v>100</v>
      </c>
      <c r="H105" s="48" t="s">
        <v>100</v>
      </c>
      <c r="I105" s="48" t="s">
        <v>100</v>
      </c>
      <c r="J105" s="48" t="s">
        <v>751</v>
      </c>
      <c r="K105" s="48" t="s">
        <v>100</v>
      </c>
      <c r="L105" s="48" t="s">
        <v>19</v>
      </c>
      <c r="M105" s="48">
        <v>3.75</v>
      </c>
      <c r="N105" s="48">
        <v>2.8</v>
      </c>
    </row>
    <row r="106" spans="1:15" ht="16.350000000000001" customHeight="1" x14ac:dyDescent="0.25">
      <c r="A106" s="55">
        <v>38</v>
      </c>
      <c r="B106" s="55">
        <v>18</v>
      </c>
      <c r="C106" s="48">
        <v>105</v>
      </c>
      <c r="D106" s="48" t="s">
        <v>1</v>
      </c>
      <c r="E106" s="48" t="s">
        <v>18</v>
      </c>
      <c r="F106" s="48" t="s">
        <v>100</v>
      </c>
      <c r="G106" s="48" t="s">
        <v>100</v>
      </c>
      <c r="H106" s="48" t="s">
        <v>100</v>
      </c>
      <c r="I106" s="48" t="s">
        <v>744</v>
      </c>
      <c r="J106" s="48" t="s">
        <v>100</v>
      </c>
      <c r="K106" s="48" t="s">
        <v>100</v>
      </c>
      <c r="L106" s="48" t="s">
        <v>19</v>
      </c>
      <c r="M106" s="48">
        <v>3.75</v>
      </c>
      <c r="N106" s="48">
        <v>2.8</v>
      </c>
    </row>
    <row r="107" spans="1:15" ht="16.350000000000001" customHeight="1" x14ac:dyDescent="0.25">
      <c r="A107" s="55">
        <v>38</v>
      </c>
      <c r="B107" s="55">
        <v>19</v>
      </c>
      <c r="C107" s="48">
        <v>106</v>
      </c>
      <c r="D107" s="48" t="s">
        <v>1</v>
      </c>
      <c r="E107" s="48" t="s">
        <v>18</v>
      </c>
      <c r="F107" s="48" t="s">
        <v>100</v>
      </c>
      <c r="G107" s="48" t="s">
        <v>100</v>
      </c>
      <c r="H107" s="48" t="s">
        <v>100</v>
      </c>
      <c r="I107" s="48" t="s">
        <v>100</v>
      </c>
      <c r="J107" s="48" t="s">
        <v>752</v>
      </c>
      <c r="K107" s="48" t="s">
        <v>100</v>
      </c>
      <c r="L107" s="48" t="s">
        <v>19</v>
      </c>
      <c r="M107" s="48">
        <v>3.75</v>
      </c>
      <c r="N107" s="48">
        <v>2.8</v>
      </c>
    </row>
    <row r="108" spans="1:15" ht="16.350000000000001" customHeight="1" x14ac:dyDescent="0.25">
      <c r="A108" s="55">
        <v>38</v>
      </c>
      <c r="B108" s="55">
        <v>20</v>
      </c>
      <c r="C108" s="48">
        <v>107</v>
      </c>
      <c r="D108" s="48" t="s">
        <v>55</v>
      </c>
      <c r="E108" s="48" t="s">
        <v>754</v>
      </c>
      <c r="F108" s="48">
        <v>0</v>
      </c>
      <c r="G108" s="48">
        <v>16.399999999999999</v>
      </c>
      <c r="H108" s="48">
        <v>0</v>
      </c>
      <c r="I108" s="48">
        <v>1</v>
      </c>
    </row>
    <row r="109" spans="1:15" ht="16.350000000000001" customHeight="1" x14ac:dyDescent="0.25">
      <c r="A109" s="55">
        <v>38</v>
      </c>
      <c r="B109" s="55">
        <v>21</v>
      </c>
      <c r="C109" s="48">
        <v>108</v>
      </c>
      <c r="D109" s="48" t="s">
        <v>698</v>
      </c>
      <c r="E109" s="48">
        <v>0.35</v>
      </c>
      <c r="F109" s="48">
        <v>80</v>
      </c>
      <c r="G109" s="48">
        <v>4</v>
      </c>
      <c r="H109" s="48">
        <v>5000</v>
      </c>
    </row>
    <row r="110" spans="1:15" ht="16.350000000000001" customHeight="1" x14ac:dyDescent="0.25">
      <c r="A110" s="55">
        <v>38</v>
      </c>
      <c r="B110" s="55">
        <v>22</v>
      </c>
      <c r="C110" s="48">
        <v>109</v>
      </c>
      <c r="D110" s="48" t="s">
        <v>49</v>
      </c>
      <c r="E110" s="48" t="s">
        <v>203</v>
      </c>
      <c r="F110" s="48">
        <v>2</v>
      </c>
    </row>
    <row r="111" spans="1:15" ht="16.350000000000001" customHeight="1" x14ac:dyDescent="0.25">
      <c r="A111" s="55">
        <v>38</v>
      </c>
      <c r="B111" s="55">
        <v>23</v>
      </c>
      <c r="C111" s="48">
        <v>110</v>
      </c>
      <c r="D111" s="48" t="s">
        <v>1</v>
      </c>
      <c r="E111" s="48" t="s">
        <v>18</v>
      </c>
      <c r="F111" s="48" t="s">
        <v>100</v>
      </c>
      <c r="G111" s="48" t="s">
        <v>100</v>
      </c>
      <c r="H111" s="48" t="s">
        <v>100</v>
      </c>
      <c r="I111" s="48" t="s">
        <v>100</v>
      </c>
      <c r="J111" s="48" t="s">
        <v>100</v>
      </c>
      <c r="K111" s="48">
        <v>14</v>
      </c>
      <c r="L111" s="48" t="s">
        <v>23</v>
      </c>
      <c r="M111" s="48">
        <v>3.75</v>
      </c>
      <c r="N111" s="48">
        <v>2.8</v>
      </c>
    </row>
    <row r="112" spans="1:15" ht="16.350000000000001" customHeight="1" x14ac:dyDescent="0.25">
      <c r="A112" s="55">
        <v>38</v>
      </c>
      <c r="B112" s="55">
        <v>24</v>
      </c>
      <c r="C112" s="48">
        <v>111</v>
      </c>
      <c r="D112" s="48" t="s">
        <v>172</v>
      </c>
      <c r="E112" s="48" t="s">
        <v>712</v>
      </c>
      <c r="F112" s="48">
        <v>155</v>
      </c>
      <c r="G112" s="48" t="s">
        <v>755</v>
      </c>
      <c r="H112" s="48">
        <v>0</v>
      </c>
      <c r="I112" s="48">
        <v>1</v>
      </c>
      <c r="J112" s="48">
        <v>1</v>
      </c>
      <c r="K112" s="48">
        <v>3.75</v>
      </c>
      <c r="L112" s="48">
        <v>2.8</v>
      </c>
    </row>
    <row r="113" spans="1:15" ht="16.350000000000001" customHeight="1" x14ac:dyDescent="0.25">
      <c r="A113" s="55">
        <v>38</v>
      </c>
      <c r="B113" s="55">
        <v>25</v>
      </c>
      <c r="C113" s="48">
        <v>112</v>
      </c>
      <c r="D113" s="48" t="s">
        <v>1</v>
      </c>
      <c r="E113" s="48" t="s">
        <v>18</v>
      </c>
      <c r="F113" s="48" t="s">
        <v>100</v>
      </c>
      <c r="G113" s="48" t="s">
        <v>100</v>
      </c>
      <c r="H113" s="48" t="s">
        <v>100</v>
      </c>
      <c r="I113" s="48">
        <v>275</v>
      </c>
      <c r="J113" s="48">
        <v>135</v>
      </c>
      <c r="K113" s="48">
        <v>14</v>
      </c>
      <c r="L113" s="48" t="s">
        <v>19</v>
      </c>
      <c r="M113" s="48">
        <v>3.75</v>
      </c>
      <c r="N113" s="48">
        <v>2.8</v>
      </c>
    </row>
    <row r="114" spans="1:15" ht="16.350000000000001" customHeight="1" x14ac:dyDescent="0.25">
      <c r="A114" s="55">
        <v>38</v>
      </c>
      <c r="B114" s="55">
        <v>26</v>
      </c>
      <c r="C114" s="48">
        <v>113</v>
      </c>
      <c r="D114" s="48" t="s">
        <v>1</v>
      </c>
      <c r="E114" s="48" t="s">
        <v>18</v>
      </c>
      <c r="F114" s="48" t="s">
        <v>100</v>
      </c>
      <c r="G114" s="48" t="s">
        <v>100</v>
      </c>
      <c r="H114" s="48" t="s">
        <v>100</v>
      </c>
      <c r="I114" s="48" t="s">
        <v>744</v>
      </c>
      <c r="J114" s="48" t="s">
        <v>100</v>
      </c>
      <c r="K114" s="48" t="s">
        <v>100</v>
      </c>
      <c r="L114" s="48" t="s">
        <v>19</v>
      </c>
      <c r="M114" s="48">
        <v>3.75</v>
      </c>
      <c r="N114" s="48">
        <v>2.8</v>
      </c>
    </row>
    <row r="115" spans="1:15" ht="16.350000000000001" customHeight="1" x14ac:dyDescent="0.25">
      <c r="A115" s="55">
        <v>38</v>
      </c>
      <c r="B115" s="55">
        <v>27</v>
      </c>
      <c r="C115" s="48">
        <v>114</v>
      </c>
      <c r="D115" s="48" t="s">
        <v>1</v>
      </c>
      <c r="E115" s="48" t="s">
        <v>18</v>
      </c>
      <c r="F115" s="48" t="s">
        <v>100</v>
      </c>
      <c r="G115" s="48" t="s">
        <v>100</v>
      </c>
      <c r="H115" s="48" t="s">
        <v>100</v>
      </c>
      <c r="I115" s="48" t="s">
        <v>100</v>
      </c>
      <c r="J115" s="48" t="s">
        <v>745</v>
      </c>
      <c r="K115" s="48" t="s">
        <v>100</v>
      </c>
      <c r="L115" s="48" t="s">
        <v>19</v>
      </c>
      <c r="M115" s="48">
        <v>3.75</v>
      </c>
      <c r="N115" s="48">
        <v>2.8</v>
      </c>
      <c r="O115" s="56"/>
    </row>
    <row r="116" spans="1:15" ht="16.350000000000001" customHeight="1" x14ac:dyDescent="0.25">
      <c r="A116" s="55">
        <v>38</v>
      </c>
      <c r="B116" s="55">
        <v>28</v>
      </c>
      <c r="C116" s="48">
        <v>115</v>
      </c>
      <c r="D116" s="48" t="s">
        <v>1</v>
      </c>
      <c r="E116" s="48" t="s">
        <v>18</v>
      </c>
      <c r="F116" s="48" t="s">
        <v>100</v>
      </c>
      <c r="G116" s="48" t="s">
        <v>100</v>
      </c>
      <c r="H116" s="48" t="s">
        <v>100</v>
      </c>
      <c r="I116" s="48" t="s">
        <v>697</v>
      </c>
      <c r="J116" s="48" t="s">
        <v>100</v>
      </c>
      <c r="K116" s="48" t="s">
        <v>100</v>
      </c>
      <c r="L116" s="48" t="s">
        <v>19</v>
      </c>
      <c r="M116" s="48">
        <v>3.75</v>
      </c>
      <c r="N116" s="48">
        <v>2.8</v>
      </c>
    </row>
    <row r="117" spans="1:15" ht="16.350000000000001" customHeight="1" x14ac:dyDescent="0.25">
      <c r="A117" s="55">
        <v>38</v>
      </c>
      <c r="B117" s="55">
        <v>29</v>
      </c>
      <c r="C117" s="48">
        <v>116</v>
      </c>
      <c r="D117" s="48" t="s">
        <v>1</v>
      </c>
      <c r="E117" s="48" t="s">
        <v>18</v>
      </c>
      <c r="F117" s="48" t="s">
        <v>100</v>
      </c>
      <c r="G117" s="48" t="s">
        <v>100</v>
      </c>
      <c r="H117" s="48" t="s">
        <v>100</v>
      </c>
      <c r="I117" s="48" t="s">
        <v>100</v>
      </c>
      <c r="J117" s="48" t="s">
        <v>746</v>
      </c>
      <c r="K117" s="48" t="s">
        <v>100</v>
      </c>
      <c r="L117" s="48" t="s">
        <v>19</v>
      </c>
      <c r="M117" s="48">
        <v>3.75</v>
      </c>
      <c r="N117" s="48">
        <v>2.8</v>
      </c>
    </row>
    <row r="118" spans="1:15" ht="16.350000000000001" customHeight="1" x14ac:dyDescent="0.25">
      <c r="A118" s="55">
        <v>38</v>
      </c>
      <c r="B118" s="55">
        <v>30</v>
      </c>
      <c r="C118" s="48">
        <v>117</v>
      </c>
      <c r="D118" s="48" t="s">
        <v>55</v>
      </c>
      <c r="E118" s="48" t="s">
        <v>778</v>
      </c>
      <c r="F118" s="48">
        <v>0</v>
      </c>
      <c r="G118" s="48">
        <v>-16.399999999999999</v>
      </c>
      <c r="H118" s="48">
        <v>0</v>
      </c>
      <c r="I118" s="48">
        <v>1</v>
      </c>
    </row>
    <row r="119" spans="1:15" ht="16.350000000000001" customHeight="1" x14ac:dyDescent="0.25">
      <c r="A119" s="55">
        <v>38</v>
      </c>
      <c r="B119" s="55">
        <v>31</v>
      </c>
      <c r="C119" s="48">
        <v>118</v>
      </c>
      <c r="D119" s="48" t="s">
        <v>39</v>
      </c>
      <c r="E119" s="48">
        <v>0</v>
      </c>
      <c r="F119" s="48">
        <v>0</v>
      </c>
      <c r="G119" s="48">
        <v>2</v>
      </c>
      <c r="H119" s="48">
        <v>5000</v>
      </c>
    </row>
    <row r="120" spans="1:15" ht="16.350000000000001" customHeight="1" x14ac:dyDescent="0.25">
      <c r="A120" s="55">
        <v>38</v>
      </c>
      <c r="B120" s="55">
        <v>32</v>
      </c>
      <c r="C120" s="48">
        <v>119</v>
      </c>
      <c r="D120" s="48" t="s">
        <v>1</v>
      </c>
      <c r="E120" s="48" t="s">
        <v>18</v>
      </c>
      <c r="F120" s="48" t="s">
        <v>100</v>
      </c>
      <c r="G120" s="48" t="s">
        <v>100</v>
      </c>
      <c r="H120" s="48" t="s">
        <v>100</v>
      </c>
      <c r="I120" s="48" t="s">
        <v>100</v>
      </c>
      <c r="J120" s="48" t="s">
        <v>759</v>
      </c>
      <c r="K120" s="48" t="s">
        <v>100</v>
      </c>
      <c r="L120" s="48" t="s">
        <v>19</v>
      </c>
      <c r="M120" s="48">
        <v>3.75</v>
      </c>
      <c r="N120" s="48">
        <v>2.8</v>
      </c>
    </row>
    <row r="121" spans="1:15" ht="16.350000000000001" customHeight="1" x14ac:dyDescent="0.25">
      <c r="A121" s="55">
        <v>38</v>
      </c>
      <c r="B121" s="55">
        <v>33</v>
      </c>
      <c r="C121" s="48">
        <v>120</v>
      </c>
      <c r="D121" s="48" t="s">
        <v>1</v>
      </c>
      <c r="E121" s="48" t="s">
        <v>18</v>
      </c>
      <c r="F121" s="48" t="s">
        <v>100</v>
      </c>
      <c r="G121" s="48" t="s">
        <v>100</v>
      </c>
      <c r="H121" s="48" t="s">
        <v>100</v>
      </c>
      <c r="I121" s="48" t="s">
        <v>744</v>
      </c>
      <c r="J121" s="48" t="s">
        <v>100</v>
      </c>
      <c r="K121" s="48" t="s">
        <v>100</v>
      </c>
      <c r="L121" s="48" t="s">
        <v>19</v>
      </c>
      <c r="M121" s="48">
        <v>3.75</v>
      </c>
      <c r="N121" s="48">
        <v>2.8</v>
      </c>
    </row>
    <row r="122" spans="1:15" ht="16.350000000000001" customHeight="1" x14ac:dyDescent="0.25">
      <c r="A122" s="55">
        <v>38</v>
      </c>
      <c r="B122" s="55">
        <v>34</v>
      </c>
      <c r="C122" s="48">
        <v>121</v>
      </c>
      <c r="D122" s="48" t="s">
        <v>1</v>
      </c>
      <c r="E122" s="48" t="s">
        <v>18</v>
      </c>
      <c r="F122" s="48" t="s">
        <v>100</v>
      </c>
      <c r="G122" s="48" t="s">
        <v>100</v>
      </c>
      <c r="H122" s="48" t="s">
        <v>100</v>
      </c>
      <c r="I122" s="48" t="s">
        <v>100</v>
      </c>
      <c r="J122" s="48" t="s">
        <v>364</v>
      </c>
      <c r="K122" s="48" t="s">
        <v>100</v>
      </c>
      <c r="L122" s="48" t="s">
        <v>19</v>
      </c>
      <c r="M122" s="48">
        <v>3.75</v>
      </c>
      <c r="N122" s="48">
        <v>2.8</v>
      </c>
    </row>
    <row r="123" spans="1:15" ht="16.350000000000001" customHeight="1" x14ac:dyDescent="0.25">
      <c r="A123" s="55">
        <v>38</v>
      </c>
      <c r="B123" s="55">
        <v>35</v>
      </c>
      <c r="C123" s="48">
        <v>122</v>
      </c>
      <c r="D123" s="48" t="s">
        <v>1</v>
      </c>
      <c r="E123" s="48" t="s">
        <v>18</v>
      </c>
      <c r="F123" s="48" t="s">
        <v>100</v>
      </c>
      <c r="G123" s="48" t="s">
        <v>100</v>
      </c>
      <c r="H123" s="48" t="s">
        <v>100</v>
      </c>
      <c r="I123" s="48" t="s">
        <v>697</v>
      </c>
      <c r="J123" s="48" t="s">
        <v>100</v>
      </c>
      <c r="K123" s="48" t="s">
        <v>100</v>
      </c>
      <c r="L123" s="48" t="s">
        <v>19</v>
      </c>
      <c r="M123" s="48">
        <v>3.75</v>
      </c>
      <c r="N123" s="48">
        <v>2.8</v>
      </c>
    </row>
    <row r="124" spans="1:15" ht="16.350000000000001" customHeight="1" x14ac:dyDescent="0.25">
      <c r="A124" s="55">
        <v>38</v>
      </c>
      <c r="B124" s="55">
        <v>36</v>
      </c>
      <c r="C124" s="48">
        <v>123</v>
      </c>
      <c r="D124" s="48" t="s">
        <v>55</v>
      </c>
      <c r="E124" s="48" t="s">
        <v>779</v>
      </c>
      <c r="F124" s="48">
        <v>0</v>
      </c>
      <c r="G124" s="48">
        <v>16.399999999999999</v>
      </c>
      <c r="H124" s="48">
        <v>0</v>
      </c>
      <c r="I124" s="48">
        <v>1</v>
      </c>
    </row>
    <row r="125" spans="1:15" ht="16.350000000000001" customHeight="1" x14ac:dyDescent="0.25">
      <c r="A125" s="55">
        <v>38</v>
      </c>
      <c r="B125" s="55">
        <v>37</v>
      </c>
      <c r="C125" s="48">
        <v>124</v>
      </c>
      <c r="D125" s="48" t="s">
        <v>39</v>
      </c>
      <c r="E125" s="48">
        <v>0</v>
      </c>
      <c r="F125" s="48">
        <v>0</v>
      </c>
      <c r="G125" s="48">
        <v>4</v>
      </c>
      <c r="H125" s="48">
        <v>5000</v>
      </c>
    </row>
    <row r="126" spans="1:15" ht="16.350000000000001" customHeight="1" x14ac:dyDescent="0.25">
      <c r="A126" s="55">
        <v>38</v>
      </c>
      <c r="B126" s="55">
        <v>9</v>
      </c>
      <c r="C126" s="48">
        <v>125</v>
      </c>
      <c r="D126" s="48" t="s">
        <v>49</v>
      </c>
      <c r="E126" s="48" t="s">
        <v>203</v>
      </c>
      <c r="F126" s="48">
        <v>3</v>
      </c>
      <c r="O126" s="56"/>
    </row>
    <row r="127" spans="1:15" ht="16.350000000000001" customHeight="1" x14ac:dyDescent="0.25">
      <c r="A127" s="55">
        <v>38</v>
      </c>
      <c r="B127" s="55">
        <v>10</v>
      </c>
      <c r="C127" s="48">
        <v>126</v>
      </c>
      <c r="D127" s="48" t="s">
        <v>1</v>
      </c>
      <c r="E127" s="48" t="s">
        <v>18</v>
      </c>
      <c r="F127" s="48">
        <v>140</v>
      </c>
      <c r="G127" s="48">
        <v>140</v>
      </c>
      <c r="H127" s="48">
        <v>16.000000000099998</v>
      </c>
      <c r="I127" s="48" t="s">
        <v>100</v>
      </c>
      <c r="J127" s="48" t="s">
        <v>748</v>
      </c>
      <c r="K127" s="48" t="s">
        <v>100</v>
      </c>
      <c r="L127" s="48" t="s">
        <v>19</v>
      </c>
      <c r="M127" s="48">
        <v>3.75</v>
      </c>
      <c r="N127" s="48">
        <v>2.8</v>
      </c>
    </row>
    <row r="128" spans="1:15" ht="16.350000000000001" customHeight="1" x14ac:dyDescent="0.25">
      <c r="A128" s="55">
        <v>38</v>
      </c>
      <c r="B128" s="55">
        <v>11</v>
      </c>
      <c r="C128" s="48">
        <v>127</v>
      </c>
      <c r="D128" s="48" t="s">
        <v>1</v>
      </c>
      <c r="E128" s="48" t="s">
        <v>18</v>
      </c>
      <c r="F128" s="48" t="s">
        <v>100</v>
      </c>
      <c r="G128" s="48" t="s">
        <v>100</v>
      </c>
      <c r="H128" s="48" t="s">
        <v>100</v>
      </c>
      <c r="I128" s="48" t="s">
        <v>697</v>
      </c>
      <c r="J128" s="48" t="s">
        <v>100</v>
      </c>
      <c r="K128" s="48" t="s">
        <v>100</v>
      </c>
      <c r="L128" s="48" t="s">
        <v>19</v>
      </c>
      <c r="M128" s="48">
        <v>3.75</v>
      </c>
      <c r="N128" s="48">
        <v>2.8</v>
      </c>
    </row>
    <row r="129" spans="1:15" ht="16.350000000000001" customHeight="1" x14ac:dyDescent="0.25">
      <c r="A129" s="55">
        <v>38</v>
      </c>
      <c r="B129" s="55">
        <v>12</v>
      </c>
      <c r="C129" s="48">
        <v>128</v>
      </c>
      <c r="D129" s="48" t="s">
        <v>1</v>
      </c>
      <c r="E129" s="48" t="s">
        <v>18</v>
      </c>
      <c r="F129" s="48" t="s">
        <v>100</v>
      </c>
      <c r="G129" s="48" t="s">
        <v>100</v>
      </c>
      <c r="H129" s="48" t="s">
        <v>100</v>
      </c>
      <c r="I129" s="48" t="s">
        <v>100</v>
      </c>
      <c r="J129" s="48" t="s">
        <v>749</v>
      </c>
      <c r="K129" s="48" t="s">
        <v>100</v>
      </c>
      <c r="L129" s="48" t="s">
        <v>19</v>
      </c>
      <c r="M129" s="48">
        <v>3.75</v>
      </c>
      <c r="N129" s="48">
        <v>2.8</v>
      </c>
    </row>
    <row r="130" spans="1:15" ht="16.350000000000001" customHeight="1" x14ac:dyDescent="0.25">
      <c r="A130" s="55">
        <v>38</v>
      </c>
      <c r="B130" s="55">
        <v>13</v>
      </c>
      <c r="C130" s="48">
        <v>129</v>
      </c>
      <c r="D130" s="48" t="s">
        <v>1</v>
      </c>
      <c r="E130" s="48" t="s">
        <v>18</v>
      </c>
      <c r="F130" s="48" t="s">
        <v>100</v>
      </c>
      <c r="G130" s="48" t="s">
        <v>100</v>
      </c>
      <c r="H130" s="48" t="s">
        <v>100</v>
      </c>
      <c r="I130" s="48" t="s">
        <v>744</v>
      </c>
      <c r="J130" s="48" t="s">
        <v>100</v>
      </c>
      <c r="K130" s="48" t="s">
        <v>100</v>
      </c>
      <c r="L130" s="48" t="s">
        <v>19</v>
      </c>
      <c r="M130" s="48">
        <v>3.75</v>
      </c>
      <c r="N130" s="48">
        <v>2.8</v>
      </c>
    </row>
    <row r="131" spans="1:15" ht="16.350000000000001" customHeight="1" x14ac:dyDescent="0.25">
      <c r="A131" s="55">
        <v>38</v>
      </c>
      <c r="B131" s="55">
        <v>14</v>
      </c>
      <c r="C131" s="48">
        <v>130</v>
      </c>
      <c r="D131" s="48" t="s">
        <v>55</v>
      </c>
      <c r="E131" s="48" t="s">
        <v>780</v>
      </c>
      <c r="F131" s="48">
        <v>0</v>
      </c>
      <c r="G131" s="48">
        <v>-16.399999999999999</v>
      </c>
      <c r="H131" s="48">
        <v>0</v>
      </c>
      <c r="I131" s="48">
        <v>1</v>
      </c>
    </row>
    <row r="132" spans="1:15" ht="16.350000000000001" customHeight="1" x14ac:dyDescent="0.25">
      <c r="A132" s="55">
        <v>38</v>
      </c>
      <c r="B132" s="55">
        <v>15</v>
      </c>
      <c r="C132" s="48">
        <v>131</v>
      </c>
      <c r="D132" s="48" t="s">
        <v>39</v>
      </c>
      <c r="E132" s="48">
        <v>0</v>
      </c>
      <c r="F132" s="48">
        <v>0</v>
      </c>
      <c r="G132" s="48">
        <v>2</v>
      </c>
      <c r="H132" s="48">
        <v>5000</v>
      </c>
    </row>
    <row r="133" spans="1:15" ht="16.350000000000001" customHeight="1" x14ac:dyDescent="0.25">
      <c r="A133" s="55">
        <v>38</v>
      </c>
      <c r="B133" s="55">
        <v>16</v>
      </c>
      <c r="C133" s="48">
        <v>132</v>
      </c>
      <c r="D133" s="48" t="s">
        <v>1</v>
      </c>
      <c r="E133" s="48" t="s">
        <v>18</v>
      </c>
      <c r="F133" s="48" t="s">
        <v>100</v>
      </c>
      <c r="G133" s="48" t="s">
        <v>100</v>
      </c>
      <c r="H133" s="48" t="s">
        <v>100</v>
      </c>
      <c r="I133" s="48" t="s">
        <v>697</v>
      </c>
      <c r="J133" s="48" t="s">
        <v>100</v>
      </c>
      <c r="K133" s="48" t="s">
        <v>100</v>
      </c>
      <c r="L133" s="48" t="s">
        <v>19</v>
      </c>
      <c r="M133" s="48">
        <v>3.75</v>
      </c>
      <c r="N133" s="48">
        <v>2.8</v>
      </c>
    </row>
    <row r="134" spans="1:15" ht="16.350000000000001" customHeight="1" x14ac:dyDescent="0.25">
      <c r="A134" s="55">
        <v>38</v>
      </c>
      <c r="B134" s="55">
        <v>17</v>
      </c>
      <c r="C134" s="48">
        <v>133</v>
      </c>
      <c r="D134" s="48" t="s">
        <v>1</v>
      </c>
      <c r="E134" s="48" t="s">
        <v>18</v>
      </c>
      <c r="F134" s="48" t="s">
        <v>100</v>
      </c>
      <c r="G134" s="48" t="s">
        <v>100</v>
      </c>
      <c r="H134" s="48" t="s">
        <v>100</v>
      </c>
      <c r="I134" s="48" t="s">
        <v>100</v>
      </c>
      <c r="J134" s="48" t="s">
        <v>751</v>
      </c>
      <c r="K134" s="48" t="s">
        <v>100</v>
      </c>
      <c r="L134" s="48" t="s">
        <v>19</v>
      </c>
      <c r="M134" s="48">
        <v>3.75</v>
      </c>
      <c r="N134" s="48">
        <v>2.8</v>
      </c>
    </row>
    <row r="135" spans="1:15" ht="16.350000000000001" customHeight="1" x14ac:dyDescent="0.25">
      <c r="A135" s="55">
        <v>38</v>
      </c>
      <c r="B135" s="55">
        <v>18</v>
      </c>
      <c r="C135" s="48">
        <v>134</v>
      </c>
      <c r="D135" s="48" t="s">
        <v>1</v>
      </c>
      <c r="E135" s="48" t="s">
        <v>18</v>
      </c>
      <c r="F135" s="48" t="s">
        <v>100</v>
      </c>
      <c r="G135" s="48" t="s">
        <v>100</v>
      </c>
      <c r="H135" s="48" t="s">
        <v>100</v>
      </c>
      <c r="I135" s="48" t="s">
        <v>744</v>
      </c>
      <c r="J135" s="48" t="s">
        <v>100</v>
      </c>
      <c r="K135" s="48" t="s">
        <v>100</v>
      </c>
      <c r="L135" s="48" t="s">
        <v>19</v>
      </c>
      <c r="M135" s="48">
        <v>3.75</v>
      </c>
      <c r="N135" s="48">
        <v>2.8</v>
      </c>
    </row>
    <row r="136" spans="1:15" ht="16.350000000000001" customHeight="1" x14ac:dyDescent="0.25">
      <c r="A136" s="55">
        <v>38</v>
      </c>
      <c r="B136" s="55">
        <v>19</v>
      </c>
      <c r="C136" s="48">
        <v>135</v>
      </c>
      <c r="D136" s="48" t="s">
        <v>1</v>
      </c>
      <c r="E136" s="48" t="s">
        <v>18</v>
      </c>
      <c r="F136" s="48" t="s">
        <v>100</v>
      </c>
      <c r="G136" s="48" t="s">
        <v>100</v>
      </c>
      <c r="H136" s="48" t="s">
        <v>100</v>
      </c>
      <c r="I136" s="48" t="s">
        <v>100</v>
      </c>
      <c r="J136" s="48" t="s">
        <v>752</v>
      </c>
      <c r="K136" s="48" t="s">
        <v>100</v>
      </c>
      <c r="L136" s="48" t="s">
        <v>19</v>
      </c>
      <c r="M136" s="48">
        <v>3.75</v>
      </c>
      <c r="N136" s="48">
        <v>2.8</v>
      </c>
    </row>
    <row r="137" spans="1:15" ht="16.350000000000001" customHeight="1" x14ac:dyDescent="0.25">
      <c r="A137" s="55">
        <v>38</v>
      </c>
      <c r="B137" s="55">
        <v>20</v>
      </c>
      <c r="C137" s="48">
        <v>136</v>
      </c>
      <c r="D137" s="48" t="s">
        <v>55</v>
      </c>
      <c r="E137" s="48" t="s">
        <v>781</v>
      </c>
      <c r="F137" s="48">
        <v>0</v>
      </c>
      <c r="G137" s="48">
        <v>16.399999999999999</v>
      </c>
      <c r="H137" s="48">
        <v>0</v>
      </c>
      <c r="I137" s="48">
        <v>1</v>
      </c>
      <c r="O137" s="56"/>
    </row>
    <row r="138" spans="1:15" ht="16.350000000000001" customHeight="1" x14ac:dyDescent="0.25">
      <c r="A138" s="55">
        <v>38</v>
      </c>
      <c r="B138" s="55">
        <v>21</v>
      </c>
      <c r="C138" s="48">
        <v>137</v>
      </c>
      <c r="D138" s="48" t="s">
        <v>698</v>
      </c>
      <c r="E138" s="48">
        <v>0.35</v>
      </c>
      <c r="F138" s="48">
        <v>80</v>
      </c>
      <c r="G138" s="48">
        <v>4</v>
      </c>
      <c r="H138" s="48">
        <v>5000</v>
      </c>
    </row>
    <row r="139" spans="1:15" ht="16.350000000000001" customHeight="1" x14ac:dyDescent="0.25">
      <c r="A139" s="55">
        <v>38</v>
      </c>
      <c r="B139" s="55">
        <v>22</v>
      </c>
      <c r="C139" s="48">
        <v>138</v>
      </c>
      <c r="D139" s="48" t="s">
        <v>49</v>
      </c>
      <c r="E139" s="48" t="s">
        <v>203</v>
      </c>
      <c r="F139" s="48">
        <v>2</v>
      </c>
    </row>
    <row r="140" spans="1:15" ht="16.350000000000001" customHeight="1" x14ac:dyDescent="0.25">
      <c r="A140" s="55">
        <v>38</v>
      </c>
      <c r="B140" s="55">
        <v>23</v>
      </c>
      <c r="C140" s="48">
        <v>139</v>
      </c>
      <c r="D140" s="48" t="s">
        <v>1</v>
      </c>
      <c r="E140" s="48" t="s">
        <v>18</v>
      </c>
      <c r="F140" s="48" t="s">
        <v>100</v>
      </c>
      <c r="G140" s="48" t="s">
        <v>100</v>
      </c>
      <c r="H140" s="48" t="s">
        <v>100</v>
      </c>
      <c r="I140" s="48" t="s">
        <v>100</v>
      </c>
      <c r="J140" s="48" t="s">
        <v>100</v>
      </c>
      <c r="K140" s="48">
        <v>18</v>
      </c>
      <c r="L140" s="48" t="s">
        <v>23</v>
      </c>
      <c r="M140" s="48">
        <v>3.75</v>
      </c>
      <c r="N140" s="48">
        <v>2.8</v>
      </c>
    </row>
    <row r="141" spans="1:15" ht="16.350000000000001" customHeight="1" x14ac:dyDescent="0.25">
      <c r="A141" s="55">
        <v>38</v>
      </c>
      <c r="B141" s="55">
        <v>24</v>
      </c>
      <c r="C141" s="48">
        <v>140</v>
      </c>
      <c r="D141" s="48" t="s">
        <v>172</v>
      </c>
      <c r="E141" s="48" t="s">
        <v>712</v>
      </c>
      <c r="F141" s="48">
        <v>155</v>
      </c>
      <c r="G141" s="48" t="s">
        <v>756</v>
      </c>
      <c r="H141" s="48">
        <v>0</v>
      </c>
      <c r="I141" s="48">
        <v>1</v>
      </c>
      <c r="J141" s="48">
        <v>1</v>
      </c>
      <c r="K141" s="48">
        <v>3.75</v>
      </c>
      <c r="L141" s="48">
        <v>2.8</v>
      </c>
    </row>
    <row r="142" spans="1:15" ht="16.350000000000001" customHeight="1" x14ac:dyDescent="0.25">
      <c r="A142" s="55">
        <v>38</v>
      </c>
      <c r="B142" s="55">
        <v>25</v>
      </c>
      <c r="C142" s="48">
        <v>141</v>
      </c>
      <c r="D142" s="48" t="s">
        <v>1</v>
      </c>
      <c r="E142" s="48" t="s">
        <v>18</v>
      </c>
      <c r="F142" s="48" t="s">
        <v>100</v>
      </c>
      <c r="G142" s="48" t="s">
        <v>100</v>
      </c>
      <c r="H142" s="48" t="s">
        <v>100</v>
      </c>
      <c r="I142" s="48">
        <v>275</v>
      </c>
      <c r="J142" s="48">
        <v>135</v>
      </c>
      <c r="K142" s="48">
        <v>18</v>
      </c>
      <c r="L142" s="48" t="s">
        <v>19</v>
      </c>
      <c r="M142" s="48">
        <v>3.75</v>
      </c>
      <c r="N142" s="48">
        <v>2.8</v>
      </c>
    </row>
    <row r="143" spans="1:15" ht="16.350000000000001" customHeight="1" x14ac:dyDescent="0.25">
      <c r="A143" s="55">
        <v>38</v>
      </c>
      <c r="B143" s="55">
        <v>26</v>
      </c>
      <c r="C143" s="48">
        <v>142</v>
      </c>
      <c r="D143" s="48" t="s">
        <v>1</v>
      </c>
      <c r="E143" s="48" t="s">
        <v>18</v>
      </c>
      <c r="F143" s="48" t="s">
        <v>100</v>
      </c>
      <c r="G143" s="48" t="s">
        <v>100</v>
      </c>
      <c r="H143" s="48" t="s">
        <v>100</v>
      </c>
      <c r="I143" s="48" t="s">
        <v>744</v>
      </c>
      <c r="J143" s="48" t="s">
        <v>100</v>
      </c>
      <c r="K143" s="48" t="s">
        <v>100</v>
      </c>
      <c r="L143" s="48" t="s">
        <v>19</v>
      </c>
      <c r="M143" s="48">
        <v>3.75</v>
      </c>
      <c r="N143" s="48">
        <v>2.8</v>
      </c>
    </row>
    <row r="144" spans="1:15" ht="16.350000000000001" customHeight="1" x14ac:dyDescent="0.25">
      <c r="A144" s="55">
        <v>38</v>
      </c>
      <c r="B144" s="55">
        <v>27</v>
      </c>
      <c r="C144" s="48">
        <v>143</v>
      </c>
      <c r="D144" s="48" t="s">
        <v>1</v>
      </c>
      <c r="E144" s="48" t="s">
        <v>18</v>
      </c>
      <c r="F144" s="48" t="s">
        <v>100</v>
      </c>
      <c r="G144" s="48" t="s">
        <v>100</v>
      </c>
      <c r="H144" s="48" t="s">
        <v>100</v>
      </c>
      <c r="I144" s="48" t="s">
        <v>100</v>
      </c>
      <c r="J144" s="48" t="s">
        <v>745</v>
      </c>
      <c r="K144" s="48" t="s">
        <v>100</v>
      </c>
      <c r="L144" s="48" t="s">
        <v>19</v>
      </c>
      <c r="M144" s="48">
        <v>3.75</v>
      </c>
      <c r="N144" s="48">
        <v>2.8</v>
      </c>
    </row>
    <row r="145" spans="1:15" ht="16.350000000000001" customHeight="1" x14ac:dyDescent="0.25">
      <c r="A145" s="55">
        <v>38</v>
      </c>
      <c r="B145" s="55">
        <v>28</v>
      </c>
      <c r="C145" s="48">
        <v>144</v>
      </c>
      <c r="D145" s="48" t="s">
        <v>1</v>
      </c>
      <c r="E145" s="48" t="s">
        <v>18</v>
      </c>
      <c r="F145" s="48" t="s">
        <v>100</v>
      </c>
      <c r="G145" s="48" t="s">
        <v>100</v>
      </c>
      <c r="H145" s="48" t="s">
        <v>100</v>
      </c>
      <c r="I145" s="48" t="s">
        <v>697</v>
      </c>
      <c r="J145" s="48" t="s">
        <v>100</v>
      </c>
      <c r="K145" s="48" t="s">
        <v>100</v>
      </c>
      <c r="L145" s="48" t="s">
        <v>19</v>
      </c>
      <c r="M145" s="48">
        <v>3.75</v>
      </c>
      <c r="N145" s="48">
        <v>2.8</v>
      </c>
    </row>
    <row r="146" spans="1:15" ht="16.350000000000001" customHeight="1" x14ac:dyDescent="0.25">
      <c r="A146" s="55">
        <v>38</v>
      </c>
      <c r="B146" s="55">
        <v>29</v>
      </c>
      <c r="C146" s="48">
        <v>145</v>
      </c>
      <c r="D146" s="48" t="s">
        <v>1</v>
      </c>
      <c r="E146" s="48" t="s">
        <v>18</v>
      </c>
      <c r="F146" s="48" t="s">
        <v>100</v>
      </c>
      <c r="G146" s="48" t="s">
        <v>100</v>
      </c>
      <c r="H146" s="48" t="s">
        <v>100</v>
      </c>
      <c r="I146" s="48" t="s">
        <v>100</v>
      </c>
      <c r="J146" s="48" t="s">
        <v>746</v>
      </c>
      <c r="K146" s="48" t="s">
        <v>100</v>
      </c>
      <c r="L146" s="48" t="s">
        <v>19</v>
      </c>
      <c r="M146" s="48">
        <v>3.75</v>
      </c>
      <c r="N146" s="48">
        <v>2.8</v>
      </c>
    </row>
    <row r="147" spans="1:15" ht="16.350000000000001" customHeight="1" x14ac:dyDescent="0.25">
      <c r="A147" s="55">
        <v>38</v>
      </c>
      <c r="B147" s="55">
        <v>30</v>
      </c>
      <c r="C147" s="48">
        <v>146</v>
      </c>
      <c r="D147" s="48" t="s">
        <v>55</v>
      </c>
      <c r="E147" s="48" t="s">
        <v>782</v>
      </c>
      <c r="F147" s="48">
        <v>0</v>
      </c>
      <c r="G147" s="48">
        <v>-16.399999999999999</v>
      </c>
      <c r="H147" s="48">
        <v>0</v>
      </c>
      <c r="I147" s="48">
        <v>1</v>
      </c>
    </row>
    <row r="148" spans="1:15" ht="16.350000000000001" customHeight="1" x14ac:dyDescent="0.25">
      <c r="A148" s="55">
        <v>38</v>
      </c>
      <c r="B148" s="55">
        <v>31</v>
      </c>
      <c r="C148" s="48">
        <v>147</v>
      </c>
      <c r="D148" s="48" t="s">
        <v>39</v>
      </c>
      <c r="E148" s="48">
        <v>0</v>
      </c>
      <c r="F148" s="48">
        <v>0</v>
      </c>
      <c r="G148" s="48">
        <v>2</v>
      </c>
      <c r="H148" s="48">
        <v>5000</v>
      </c>
      <c r="O148" s="56"/>
    </row>
    <row r="149" spans="1:15" ht="16.350000000000001" customHeight="1" x14ac:dyDescent="0.25">
      <c r="A149" s="55">
        <v>38</v>
      </c>
      <c r="B149" s="55">
        <v>32</v>
      </c>
      <c r="C149" s="48">
        <v>148</v>
      </c>
      <c r="D149" s="48" t="s">
        <v>1</v>
      </c>
      <c r="E149" s="48" t="s">
        <v>18</v>
      </c>
      <c r="F149" s="48" t="s">
        <v>100</v>
      </c>
      <c r="G149" s="48" t="s">
        <v>100</v>
      </c>
      <c r="H149" s="48" t="s">
        <v>100</v>
      </c>
      <c r="I149" s="48" t="s">
        <v>100</v>
      </c>
      <c r="J149" s="48" t="s">
        <v>759</v>
      </c>
      <c r="K149" s="48" t="s">
        <v>100</v>
      </c>
      <c r="L149" s="48" t="s">
        <v>19</v>
      </c>
      <c r="M149" s="48">
        <v>3.75</v>
      </c>
      <c r="N149" s="48">
        <v>2.8</v>
      </c>
    </row>
    <row r="150" spans="1:15" ht="16.350000000000001" customHeight="1" x14ac:dyDescent="0.25">
      <c r="A150" s="55">
        <v>38</v>
      </c>
      <c r="B150" s="55">
        <v>33</v>
      </c>
      <c r="C150" s="48">
        <v>149</v>
      </c>
      <c r="D150" s="48" t="s">
        <v>1</v>
      </c>
      <c r="E150" s="48" t="s">
        <v>18</v>
      </c>
      <c r="F150" s="48" t="s">
        <v>100</v>
      </c>
      <c r="G150" s="48" t="s">
        <v>100</v>
      </c>
      <c r="H150" s="48" t="s">
        <v>100</v>
      </c>
      <c r="I150" s="48" t="s">
        <v>744</v>
      </c>
      <c r="J150" s="48" t="s">
        <v>100</v>
      </c>
      <c r="K150" s="48" t="s">
        <v>100</v>
      </c>
      <c r="L150" s="48" t="s">
        <v>19</v>
      </c>
      <c r="M150" s="48">
        <v>3.75</v>
      </c>
      <c r="N150" s="48">
        <v>2.8</v>
      </c>
    </row>
    <row r="151" spans="1:15" ht="16.350000000000001" customHeight="1" x14ac:dyDescent="0.25">
      <c r="A151" s="55">
        <v>38</v>
      </c>
      <c r="B151" s="55">
        <v>34</v>
      </c>
      <c r="C151" s="48">
        <v>150</v>
      </c>
      <c r="D151" s="48" t="s">
        <v>1</v>
      </c>
      <c r="E151" s="48" t="s">
        <v>18</v>
      </c>
      <c r="F151" s="48" t="s">
        <v>100</v>
      </c>
      <c r="G151" s="48" t="s">
        <v>100</v>
      </c>
      <c r="H151" s="48" t="s">
        <v>100</v>
      </c>
      <c r="I151" s="48" t="s">
        <v>100</v>
      </c>
      <c r="J151" s="48" t="s">
        <v>364</v>
      </c>
      <c r="K151" s="48" t="s">
        <v>100</v>
      </c>
      <c r="L151" s="48" t="s">
        <v>19</v>
      </c>
      <c r="M151" s="48">
        <v>3.75</v>
      </c>
      <c r="N151" s="48">
        <v>2.8</v>
      </c>
    </row>
    <row r="152" spans="1:15" ht="16.350000000000001" customHeight="1" x14ac:dyDescent="0.25">
      <c r="A152" s="55">
        <v>38</v>
      </c>
      <c r="B152" s="55">
        <v>35</v>
      </c>
      <c r="C152" s="48">
        <v>151</v>
      </c>
      <c r="D152" s="48" t="s">
        <v>1</v>
      </c>
      <c r="E152" s="48" t="s">
        <v>18</v>
      </c>
      <c r="F152" s="48" t="s">
        <v>100</v>
      </c>
      <c r="G152" s="48" t="s">
        <v>100</v>
      </c>
      <c r="H152" s="48" t="s">
        <v>100</v>
      </c>
      <c r="I152" s="48" t="s">
        <v>697</v>
      </c>
      <c r="J152" s="48" t="s">
        <v>100</v>
      </c>
      <c r="K152" s="48" t="s">
        <v>100</v>
      </c>
      <c r="L152" s="48" t="s">
        <v>19</v>
      </c>
      <c r="M152" s="48">
        <v>3.75</v>
      </c>
      <c r="N152" s="48">
        <v>2.8</v>
      </c>
    </row>
    <row r="153" spans="1:15" ht="16.350000000000001" customHeight="1" x14ac:dyDescent="0.25">
      <c r="A153" s="55">
        <v>38</v>
      </c>
      <c r="B153" s="55">
        <v>36</v>
      </c>
      <c r="C153" s="48">
        <v>152</v>
      </c>
      <c r="D153" s="48" t="s">
        <v>55</v>
      </c>
      <c r="E153" s="48" t="s">
        <v>783</v>
      </c>
      <c r="F153" s="48">
        <v>0</v>
      </c>
      <c r="G153" s="48">
        <v>16.399999999999999</v>
      </c>
      <c r="H153" s="48">
        <v>0</v>
      </c>
      <c r="I153" s="48">
        <v>1</v>
      </c>
    </row>
    <row r="154" spans="1:15" ht="16.350000000000001" customHeight="1" x14ac:dyDescent="0.25">
      <c r="A154" s="55">
        <v>38</v>
      </c>
      <c r="B154" s="55">
        <v>37</v>
      </c>
      <c r="C154" s="48">
        <v>153</v>
      </c>
      <c r="D154" s="48" t="s">
        <v>39</v>
      </c>
      <c r="E154" s="48">
        <v>0</v>
      </c>
      <c r="F154" s="48">
        <v>0</v>
      </c>
      <c r="G154" s="48">
        <v>4</v>
      </c>
      <c r="H154" s="48">
        <v>5000</v>
      </c>
    </row>
    <row r="155" spans="1:15" ht="16.350000000000001" customHeight="1" x14ac:dyDescent="0.25">
      <c r="A155" s="55">
        <v>38</v>
      </c>
      <c r="B155" s="55">
        <v>9</v>
      </c>
      <c r="C155" s="48">
        <v>154</v>
      </c>
      <c r="D155" s="48" t="s">
        <v>49</v>
      </c>
      <c r="E155" s="48" t="s">
        <v>203</v>
      </c>
      <c r="F155" s="48">
        <v>3</v>
      </c>
    </row>
    <row r="156" spans="1:15" ht="16.350000000000001" customHeight="1" x14ac:dyDescent="0.25">
      <c r="A156" s="55">
        <v>38</v>
      </c>
      <c r="B156" s="55">
        <v>10</v>
      </c>
      <c r="C156" s="48">
        <v>155</v>
      </c>
      <c r="D156" s="48" t="s">
        <v>1</v>
      </c>
      <c r="E156" s="48" t="s">
        <v>18</v>
      </c>
      <c r="F156" s="48">
        <v>140</v>
      </c>
      <c r="G156" s="48">
        <v>140</v>
      </c>
      <c r="H156" s="48">
        <v>20.000000000099998</v>
      </c>
      <c r="I156" s="48" t="s">
        <v>100</v>
      </c>
      <c r="J156" s="48" t="s">
        <v>748</v>
      </c>
      <c r="K156" s="48" t="s">
        <v>100</v>
      </c>
      <c r="L156" s="48" t="s">
        <v>19</v>
      </c>
      <c r="M156" s="48">
        <v>3.75</v>
      </c>
      <c r="N156" s="48">
        <v>2.8</v>
      </c>
    </row>
    <row r="157" spans="1:15" ht="16.350000000000001" customHeight="1" x14ac:dyDescent="0.25">
      <c r="A157" s="55">
        <v>38</v>
      </c>
      <c r="B157" s="55">
        <v>11</v>
      </c>
      <c r="C157" s="48">
        <v>156</v>
      </c>
      <c r="D157" s="48" t="s">
        <v>1</v>
      </c>
      <c r="E157" s="48" t="s">
        <v>18</v>
      </c>
      <c r="F157" s="48" t="s">
        <v>100</v>
      </c>
      <c r="G157" s="48" t="s">
        <v>100</v>
      </c>
      <c r="H157" s="48" t="s">
        <v>100</v>
      </c>
      <c r="I157" s="48" t="s">
        <v>697</v>
      </c>
      <c r="J157" s="48" t="s">
        <v>100</v>
      </c>
      <c r="K157" s="48" t="s">
        <v>100</v>
      </c>
      <c r="L157" s="48" t="s">
        <v>19</v>
      </c>
      <c r="M157" s="48">
        <v>3.75</v>
      </c>
      <c r="N157" s="48">
        <v>2.8</v>
      </c>
    </row>
    <row r="158" spans="1:15" ht="16.350000000000001" customHeight="1" x14ac:dyDescent="0.25">
      <c r="A158" s="55">
        <v>38</v>
      </c>
      <c r="B158" s="55">
        <v>12</v>
      </c>
      <c r="C158" s="48">
        <v>157</v>
      </c>
      <c r="D158" s="48" t="s">
        <v>1</v>
      </c>
      <c r="E158" s="48" t="s">
        <v>18</v>
      </c>
      <c r="F158" s="48" t="s">
        <v>100</v>
      </c>
      <c r="G158" s="48" t="s">
        <v>100</v>
      </c>
      <c r="H158" s="48" t="s">
        <v>100</v>
      </c>
      <c r="I158" s="48" t="s">
        <v>100</v>
      </c>
      <c r="J158" s="48" t="s">
        <v>749</v>
      </c>
      <c r="K158" s="48" t="s">
        <v>100</v>
      </c>
      <c r="L158" s="48" t="s">
        <v>19</v>
      </c>
      <c r="M158" s="48">
        <v>3.75</v>
      </c>
      <c r="N158" s="48">
        <v>2.8</v>
      </c>
    </row>
    <row r="159" spans="1:15" ht="16.350000000000001" customHeight="1" x14ac:dyDescent="0.25">
      <c r="A159" s="55">
        <v>38</v>
      </c>
      <c r="B159" s="55">
        <v>13</v>
      </c>
      <c r="C159" s="48">
        <v>158</v>
      </c>
      <c r="D159" s="48" t="s">
        <v>1</v>
      </c>
      <c r="E159" s="48" t="s">
        <v>18</v>
      </c>
      <c r="F159" s="48" t="s">
        <v>100</v>
      </c>
      <c r="G159" s="48" t="s">
        <v>100</v>
      </c>
      <c r="H159" s="48" t="s">
        <v>100</v>
      </c>
      <c r="I159" s="48" t="s">
        <v>744</v>
      </c>
      <c r="J159" s="48" t="s">
        <v>100</v>
      </c>
      <c r="K159" s="48" t="s">
        <v>100</v>
      </c>
      <c r="L159" s="48" t="s">
        <v>19</v>
      </c>
      <c r="M159" s="48">
        <v>3.75</v>
      </c>
      <c r="N159" s="48">
        <v>2.8</v>
      </c>
      <c r="O159" s="56"/>
    </row>
    <row r="160" spans="1:15" ht="16.350000000000001" customHeight="1" x14ac:dyDescent="0.25">
      <c r="A160" s="55">
        <v>38</v>
      </c>
      <c r="B160" s="55">
        <v>14</v>
      </c>
      <c r="C160" s="48">
        <v>159</v>
      </c>
      <c r="D160" s="48" t="s">
        <v>55</v>
      </c>
      <c r="E160" s="48" t="s">
        <v>784</v>
      </c>
      <c r="F160" s="48">
        <v>0</v>
      </c>
      <c r="G160" s="48">
        <v>-16.399999999999999</v>
      </c>
      <c r="H160" s="48">
        <v>0</v>
      </c>
      <c r="I160" s="48">
        <v>1</v>
      </c>
    </row>
    <row r="161" spans="1:15" ht="16.350000000000001" customHeight="1" x14ac:dyDescent="0.25">
      <c r="A161" s="55">
        <v>38</v>
      </c>
      <c r="B161" s="55">
        <v>15</v>
      </c>
      <c r="C161" s="48">
        <v>160</v>
      </c>
      <c r="D161" s="48" t="s">
        <v>39</v>
      </c>
      <c r="E161" s="48">
        <v>0</v>
      </c>
      <c r="F161" s="48">
        <v>0</v>
      </c>
      <c r="G161" s="48">
        <v>2</v>
      </c>
      <c r="H161" s="48">
        <v>5000</v>
      </c>
    </row>
    <row r="162" spans="1:15" ht="16.350000000000001" customHeight="1" x14ac:dyDescent="0.25">
      <c r="A162" s="55">
        <v>38</v>
      </c>
      <c r="B162" s="55">
        <v>16</v>
      </c>
      <c r="C162" s="48">
        <v>161</v>
      </c>
      <c r="D162" s="48" t="s">
        <v>1</v>
      </c>
      <c r="E162" s="48" t="s">
        <v>18</v>
      </c>
      <c r="F162" s="48" t="s">
        <v>100</v>
      </c>
      <c r="G162" s="48" t="s">
        <v>100</v>
      </c>
      <c r="H162" s="48" t="s">
        <v>100</v>
      </c>
      <c r="I162" s="48" t="s">
        <v>697</v>
      </c>
      <c r="J162" s="48" t="s">
        <v>100</v>
      </c>
      <c r="K162" s="48" t="s">
        <v>100</v>
      </c>
      <c r="L162" s="48" t="s">
        <v>19</v>
      </c>
      <c r="M162" s="48">
        <v>3.75</v>
      </c>
      <c r="N162" s="48">
        <v>2.8</v>
      </c>
    </row>
    <row r="163" spans="1:15" ht="16.350000000000001" customHeight="1" x14ac:dyDescent="0.25">
      <c r="A163" s="55">
        <v>38</v>
      </c>
      <c r="B163" s="55">
        <v>17</v>
      </c>
      <c r="C163" s="48">
        <v>162</v>
      </c>
      <c r="D163" s="48" t="s">
        <v>1</v>
      </c>
      <c r="E163" s="48" t="s">
        <v>18</v>
      </c>
      <c r="F163" s="48" t="s">
        <v>100</v>
      </c>
      <c r="G163" s="48" t="s">
        <v>100</v>
      </c>
      <c r="H163" s="48" t="s">
        <v>100</v>
      </c>
      <c r="I163" s="48" t="s">
        <v>100</v>
      </c>
      <c r="J163" s="48" t="s">
        <v>751</v>
      </c>
      <c r="K163" s="48" t="s">
        <v>100</v>
      </c>
      <c r="L163" s="48" t="s">
        <v>19</v>
      </c>
      <c r="M163" s="48">
        <v>3.75</v>
      </c>
      <c r="N163" s="48">
        <v>2.8</v>
      </c>
    </row>
    <row r="164" spans="1:15" ht="16.350000000000001" customHeight="1" x14ac:dyDescent="0.25">
      <c r="A164" s="55">
        <v>38</v>
      </c>
      <c r="B164" s="55">
        <v>18</v>
      </c>
      <c r="C164" s="48">
        <v>163</v>
      </c>
      <c r="D164" s="48" t="s">
        <v>1</v>
      </c>
      <c r="E164" s="48" t="s">
        <v>18</v>
      </c>
      <c r="F164" s="48" t="s">
        <v>100</v>
      </c>
      <c r="G164" s="48" t="s">
        <v>100</v>
      </c>
      <c r="H164" s="48" t="s">
        <v>100</v>
      </c>
      <c r="I164" s="48" t="s">
        <v>744</v>
      </c>
      <c r="J164" s="48" t="s">
        <v>100</v>
      </c>
      <c r="K164" s="48" t="s">
        <v>100</v>
      </c>
      <c r="L164" s="48" t="s">
        <v>19</v>
      </c>
      <c r="M164" s="48">
        <v>3.75</v>
      </c>
      <c r="N164" s="48">
        <v>2.8</v>
      </c>
    </row>
    <row r="165" spans="1:15" ht="16.350000000000001" customHeight="1" x14ac:dyDescent="0.25">
      <c r="A165" s="55">
        <v>38</v>
      </c>
      <c r="B165" s="55">
        <v>19</v>
      </c>
      <c r="C165" s="48">
        <v>164</v>
      </c>
      <c r="D165" s="48" t="s">
        <v>1</v>
      </c>
      <c r="E165" s="48" t="s">
        <v>18</v>
      </c>
      <c r="F165" s="48" t="s">
        <v>100</v>
      </c>
      <c r="G165" s="48" t="s">
        <v>100</v>
      </c>
      <c r="H165" s="48" t="s">
        <v>100</v>
      </c>
      <c r="I165" s="48" t="s">
        <v>100</v>
      </c>
      <c r="J165" s="48" t="s">
        <v>752</v>
      </c>
      <c r="K165" s="48" t="s">
        <v>100</v>
      </c>
      <c r="L165" s="48" t="s">
        <v>19</v>
      </c>
      <c r="M165" s="48">
        <v>3.75</v>
      </c>
      <c r="N165" s="48">
        <v>2.8</v>
      </c>
    </row>
    <row r="166" spans="1:15" ht="16.350000000000001" customHeight="1" x14ac:dyDescent="0.25">
      <c r="A166" s="55">
        <v>38</v>
      </c>
      <c r="B166" s="55">
        <v>20</v>
      </c>
      <c r="C166" s="48">
        <v>165</v>
      </c>
      <c r="D166" s="48" t="s">
        <v>55</v>
      </c>
      <c r="E166" s="48" t="s">
        <v>785</v>
      </c>
      <c r="F166" s="48">
        <v>0</v>
      </c>
      <c r="G166" s="48">
        <v>16.399999999999999</v>
      </c>
      <c r="H166" s="48">
        <v>0</v>
      </c>
      <c r="I166" s="48">
        <v>1</v>
      </c>
    </row>
    <row r="167" spans="1:15" ht="16.350000000000001" customHeight="1" x14ac:dyDescent="0.25">
      <c r="A167" s="55">
        <v>38</v>
      </c>
      <c r="B167" s="55">
        <v>21</v>
      </c>
      <c r="C167" s="48">
        <v>166</v>
      </c>
      <c r="D167" s="48" t="s">
        <v>698</v>
      </c>
      <c r="E167" s="48">
        <v>0.35</v>
      </c>
      <c r="F167" s="48">
        <v>80</v>
      </c>
      <c r="G167" s="48">
        <v>4</v>
      </c>
      <c r="H167" s="48">
        <v>5000</v>
      </c>
    </row>
    <row r="168" spans="1:15" ht="16.350000000000001" customHeight="1" x14ac:dyDescent="0.25">
      <c r="A168" s="55">
        <v>38</v>
      </c>
      <c r="B168" s="55">
        <v>22</v>
      </c>
      <c r="C168" s="48">
        <v>167</v>
      </c>
      <c r="D168" s="48" t="s">
        <v>49</v>
      </c>
      <c r="E168" s="48" t="s">
        <v>203</v>
      </c>
      <c r="F168" s="48">
        <v>2</v>
      </c>
    </row>
    <row r="169" spans="1:15" ht="16.350000000000001" customHeight="1" x14ac:dyDescent="0.25">
      <c r="A169" s="55">
        <v>38</v>
      </c>
      <c r="B169" s="55">
        <v>23</v>
      </c>
      <c r="C169" s="48">
        <v>168</v>
      </c>
      <c r="D169" s="48" t="s">
        <v>1</v>
      </c>
      <c r="E169" s="48" t="s">
        <v>18</v>
      </c>
      <c r="F169" s="48" t="s">
        <v>100</v>
      </c>
      <c r="G169" s="48" t="s">
        <v>100</v>
      </c>
      <c r="H169" s="48" t="s">
        <v>100</v>
      </c>
      <c r="I169" s="48" t="s">
        <v>100</v>
      </c>
      <c r="J169" s="48" t="s">
        <v>100</v>
      </c>
      <c r="K169" s="48">
        <v>22</v>
      </c>
      <c r="L169" s="48" t="s">
        <v>23</v>
      </c>
      <c r="M169" s="48">
        <v>3.75</v>
      </c>
      <c r="N169" s="48">
        <v>2.8</v>
      </c>
    </row>
    <row r="170" spans="1:15" ht="16.350000000000001" customHeight="1" x14ac:dyDescent="0.25">
      <c r="A170" s="55">
        <v>38</v>
      </c>
      <c r="B170" s="55">
        <v>24</v>
      </c>
      <c r="C170" s="48">
        <v>169</v>
      </c>
      <c r="D170" s="48" t="s">
        <v>172</v>
      </c>
      <c r="E170" s="48" t="s">
        <v>712</v>
      </c>
      <c r="F170" s="48">
        <v>155</v>
      </c>
      <c r="G170" s="48" t="s">
        <v>758</v>
      </c>
      <c r="H170" s="48">
        <v>0</v>
      </c>
      <c r="I170" s="48">
        <v>1</v>
      </c>
      <c r="J170" s="48">
        <v>1</v>
      </c>
      <c r="K170" s="48">
        <v>3.75</v>
      </c>
      <c r="L170" s="48">
        <v>2.8</v>
      </c>
      <c r="O170" s="56"/>
    </row>
    <row r="171" spans="1:15" ht="16.350000000000001" customHeight="1" x14ac:dyDescent="0.25">
      <c r="A171" s="55">
        <v>38</v>
      </c>
      <c r="B171" s="55">
        <v>25</v>
      </c>
      <c r="C171" s="48">
        <v>170</v>
      </c>
      <c r="D171" s="48" t="s">
        <v>1</v>
      </c>
      <c r="E171" s="48" t="s">
        <v>18</v>
      </c>
      <c r="F171" s="48" t="s">
        <v>100</v>
      </c>
      <c r="G171" s="48" t="s">
        <v>100</v>
      </c>
      <c r="H171" s="48" t="s">
        <v>100</v>
      </c>
      <c r="I171" s="48">
        <v>275</v>
      </c>
      <c r="J171" s="48">
        <v>135</v>
      </c>
      <c r="K171" s="48">
        <v>22</v>
      </c>
      <c r="L171" s="48" t="s">
        <v>19</v>
      </c>
      <c r="M171" s="48">
        <v>3.75</v>
      </c>
      <c r="N171" s="48">
        <v>2.8</v>
      </c>
    </row>
    <row r="172" spans="1:15" ht="16.350000000000001" customHeight="1" x14ac:dyDescent="0.25">
      <c r="A172" s="55">
        <v>38</v>
      </c>
      <c r="B172" s="55">
        <v>26</v>
      </c>
      <c r="C172" s="48">
        <v>171</v>
      </c>
      <c r="D172" s="48" t="s">
        <v>1</v>
      </c>
      <c r="E172" s="48" t="s">
        <v>18</v>
      </c>
      <c r="F172" s="48" t="s">
        <v>100</v>
      </c>
      <c r="G172" s="48" t="s">
        <v>100</v>
      </c>
      <c r="H172" s="48" t="s">
        <v>100</v>
      </c>
      <c r="I172" s="48" t="s">
        <v>744</v>
      </c>
      <c r="J172" s="48" t="s">
        <v>100</v>
      </c>
      <c r="K172" s="48" t="s">
        <v>100</v>
      </c>
      <c r="L172" s="48" t="s">
        <v>19</v>
      </c>
      <c r="M172" s="48">
        <v>3.75</v>
      </c>
      <c r="N172" s="48">
        <v>2.8</v>
      </c>
    </row>
    <row r="173" spans="1:15" ht="16.350000000000001" customHeight="1" x14ac:dyDescent="0.25">
      <c r="A173" s="55">
        <v>38</v>
      </c>
      <c r="B173" s="55">
        <v>27</v>
      </c>
      <c r="C173" s="48">
        <v>172</v>
      </c>
      <c r="D173" s="48" t="s">
        <v>1</v>
      </c>
      <c r="E173" s="48" t="s">
        <v>18</v>
      </c>
      <c r="F173" s="48" t="s">
        <v>100</v>
      </c>
      <c r="G173" s="48" t="s">
        <v>100</v>
      </c>
      <c r="H173" s="48" t="s">
        <v>100</v>
      </c>
      <c r="I173" s="48" t="s">
        <v>100</v>
      </c>
      <c r="J173" s="48" t="s">
        <v>745</v>
      </c>
      <c r="K173" s="48" t="s">
        <v>100</v>
      </c>
      <c r="L173" s="48" t="s">
        <v>19</v>
      </c>
      <c r="M173" s="48">
        <v>3.75</v>
      </c>
      <c r="N173" s="48">
        <v>2.8</v>
      </c>
    </row>
    <row r="174" spans="1:15" ht="16.350000000000001" customHeight="1" x14ac:dyDescent="0.25">
      <c r="A174" s="55">
        <v>38</v>
      </c>
      <c r="B174" s="55">
        <v>28</v>
      </c>
      <c r="C174" s="48">
        <v>173</v>
      </c>
      <c r="D174" s="48" t="s">
        <v>1</v>
      </c>
      <c r="E174" s="48" t="s">
        <v>18</v>
      </c>
      <c r="F174" s="48" t="s">
        <v>100</v>
      </c>
      <c r="G174" s="48" t="s">
        <v>100</v>
      </c>
      <c r="H174" s="48" t="s">
        <v>100</v>
      </c>
      <c r="I174" s="48" t="s">
        <v>697</v>
      </c>
      <c r="J174" s="48" t="s">
        <v>100</v>
      </c>
      <c r="K174" s="48" t="s">
        <v>100</v>
      </c>
      <c r="L174" s="48" t="s">
        <v>19</v>
      </c>
      <c r="M174" s="48">
        <v>3.75</v>
      </c>
      <c r="N174" s="48">
        <v>2.8</v>
      </c>
    </row>
    <row r="175" spans="1:15" ht="16.350000000000001" customHeight="1" x14ac:dyDescent="0.25">
      <c r="A175" s="55">
        <v>38</v>
      </c>
      <c r="B175" s="55">
        <v>29</v>
      </c>
      <c r="C175" s="48">
        <v>174</v>
      </c>
      <c r="D175" s="48" t="s">
        <v>1</v>
      </c>
      <c r="E175" s="48" t="s">
        <v>18</v>
      </c>
      <c r="F175" s="48" t="s">
        <v>100</v>
      </c>
      <c r="G175" s="48" t="s">
        <v>100</v>
      </c>
      <c r="H175" s="48" t="s">
        <v>100</v>
      </c>
      <c r="I175" s="48" t="s">
        <v>100</v>
      </c>
      <c r="J175" s="48" t="s">
        <v>746</v>
      </c>
      <c r="K175" s="48" t="s">
        <v>100</v>
      </c>
      <c r="L175" s="48" t="s">
        <v>19</v>
      </c>
      <c r="M175" s="48">
        <v>3.75</v>
      </c>
      <c r="N175" s="48">
        <v>2.8</v>
      </c>
    </row>
    <row r="176" spans="1:15" ht="16.350000000000001" customHeight="1" x14ac:dyDescent="0.25">
      <c r="A176" s="55">
        <v>38</v>
      </c>
      <c r="B176" s="55">
        <v>30</v>
      </c>
      <c r="C176" s="48">
        <v>175</v>
      </c>
      <c r="D176" s="48" t="s">
        <v>55</v>
      </c>
      <c r="E176" s="48" t="s">
        <v>757</v>
      </c>
      <c r="F176" s="48">
        <v>0</v>
      </c>
      <c r="G176" s="48">
        <v>-16.399999999999999</v>
      </c>
      <c r="H176" s="48">
        <v>0</v>
      </c>
      <c r="I176" s="48">
        <v>1</v>
      </c>
    </row>
    <row r="177" spans="1:15" ht="16.350000000000001" customHeight="1" x14ac:dyDescent="0.25">
      <c r="A177" s="55">
        <v>38</v>
      </c>
      <c r="B177" s="55">
        <v>31</v>
      </c>
      <c r="C177" s="48">
        <v>176</v>
      </c>
      <c r="D177" s="48" t="s">
        <v>39</v>
      </c>
      <c r="E177" s="48">
        <v>0</v>
      </c>
      <c r="F177" s="48">
        <v>0</v>
      </c>
      <c r="G177" s="48">
        <v>2</v>
      </c>
      <c r="H177" s="48">
        <v>5000</v>
      </c>
    </row>
    <row r="178" spans="1:15" ht="16.350000000000001" customHeight="1" x14ac:dyDescent="0.25">
      <c r="A178" s="55">
        <v>38</v>
      </c>
      <c r="B178" s="55">
        <v>32</v>
      </c>
      <c r="C178" s="48">
        <v>177</v>
      </c>
      <c r="D178" s="48" t="s">
        <v>1</v>
      </c>
      <c r="E178" s="48" t="s">
        <v>18</v>
      </c>
      <c r="F178" s="48" t="s">
        <v>100</v>
      </c>
      <c r="G178" s="48" t="s">
        <v>100</v>
      </c>
      <c r="H178" s="48" t="s">
        <v>100</v>
      </c>
      <c r="I178" s="48" t="s">
        <v>100</v>
      </c>
      <c r="J178" s="48" t="s">
        <v>759</v>
      </c>
      <c r="K178" s="48" t="s">
        <v>100</v>
      </c>
      <c r="L178" s="48" t="s">
        <v>19</v>
      </c>
      <c r="M178" s="48">
        <v>3.75</v>
      </c>
      <c r="N178" s="48">
        <v>2.8</v>
      </c>
    </row>
    <row r="179" spans="1:15" ht="16.350000000000001" customHeight="1" x14ac:dyDescent="0.25">
      <c r="A179" s="55">
        <v>38</v>
      </c>
      <c r="B179" s="55">
        <v>33</v>
      </c>
      <c r="C179" s="48">
        <v>178</v>
      </c>
      <c r="D179" s="48" t="s">
        <v>1</v>
      </c>
      <c r="E179" s="48" t="s">
        <v>18</v>
      </c>
      <c r="F179" s="48" t="s">
        <v>100</v>
      </c>
      <c r="G179" s="48" t="s">
        <v>100</v>
      </c>
      <c r="H179" s="48" t="s">
        <v>100</v>
      </c>
      <c r="I179" s="48" t="s">
        <v>744</v>
      </c>
      <c r="J179" s="48" t="s">
        <v>100</v>
      </c>
      <c r="K179" s="48" t="s">
        <v>100</v>
      </c>
      <c r="L179" s="48" t="s">
        <v>19</v>
      </c>
      <c r="M179" s="48">
        <v>3.75</v>
      </c>
      <c r="N179" s="48">
        <v>2.8</v>
      </c>
    </row>
    <row r="180" spans="1:15" ht="16.350000000000001" customHeight="1" x14ac:dyDescent="0.25">
      <c r="A180" s="55">
        <v>38</v>
      </c>
      <c r="B180" s="55">
        <v>34</v>
      </c>
      <c r="C180" s="48">
        <v>179</v>
      </c>
      <c r="D180" s="48" t="s">
        <v>1</v>
      </c>
      <c r="E180" s="48" t="s">
        <v>18</v>
      </c>
      <c r="F180" s="48" t="s">
        <v>100</v>
      </c>
      <c r="G180" s="48" t="s">
        <v>100</v>
      </c>
      <c r="H180" s="48" t="s">
        <v>100</v>
      </c>
      <c r="I180" s="48" t="s">
        <v>100</v>
      </c>
      <c r="J180" s="48" t="s">
        <v>364</v>
      </c>
      <c r="K180" s="48" t="s">
        <v>100</v>
      </c>
      <c r="L180" s="48" t="s">
        <v>19</v>
      </c>
      <c r="M180" s="48">
        <v>3.75</v>
      </c>
      <c r="N180" s="48">
        <v>2.8</v>
      </c>
    </row>
    <row r="181" spans="1:15" ht="16.350000000000001" customHeight="1" x14ac:dyDescent="0.25">
      <c r="A181" s="55">
        <v>38</v>
      </c>
      <c r="B181" s="55">
        <v>35</v>
      </c>
      <c r="C181" s="48">
        <v>180</v>
      </c>
      <c r="D181" s="48" t="s">
        <v>1</v>
      </c>
      <c r="E181" s="48" t="s">
        <v>18</v>
      </c>
      <c r="F181" s="48" t="s">
        <v>100</v>
      </c>
      <c r="G181" s="48" t="s">
        <v>100</v>
      </c>
      <c r="H181" s="48" t="s">
        <v>100</v>
      </c>
      <c r="I181" s="48" t="s">
        <v>697</v>
      </c>
      <c r="J181" s="48" t="s">
        <v>100</v>
      </c>
      <c r="K181" s="48" t="s">
        <v>100</v>
      </c>
      <c r="L181" s="48" t="s">
        <v>19</v>
      </c>
      <c r="M181" s="48">
        <v>3.75</v>
      </c>
      <c r="N181" s="48">
        <v>2.8</v>
      </c>
      <c r="O181" s="56"/>
    </row>
    <row r="182" spans="1:15" ht="16.350000000000001" customHeight="1" x14ac:dyDescent="0.25">
      <c r="A182" s="55">
        <v>38</v>
      </c>
      <c r="B182" s="55">
        <v>36</v>
      </c>
      <c r="C182" s="48">
        <v>181</v>
      </c>
      <c r="D182" s="48" t="s">
        <v>55</v>
      </c>
      <c r="E182" s="48" t="s">
        <v>786</v>
      </c>
      <c r="F182" s="48">
        <v>0</v>
      </c>
      <c r="G182" s="48">
        <v>16.399999999999999</v>
      </c>
      <c r="H182" s="48">
        <v>0</v>
      </c>
      <c r="I182" s="48">
        <v>1</v>
      </c>
    </row>
    <row r="183" spans="1:15" ht="16.350000000000001" customHeight="1" x14ac:dyDescent="0.25">
      <c r="A183" s="55">
        <v>38</v>
      </c>
      <c r="B183" s="55">
        <v>37</v>
      </c>
      <c r="C183" s="48">
        <v>182</v>
      </c>
      <c r="D183" s="48" t="s">
        <v>39</v>
      </c>
      <c r="E183" s="48">
        <v>0</v>
      </c>
      <c r="F183" s="48">
        <v>0</v>
      </c>
      <c r="G183" s="48">
        <v>4</v>
      </c>
      <c r="H183" s="48">
        <v>5000</v>
      </c>
    </row>
    <row r="184" spans="1:15" ht="16.350000000000001" customHeight="1" x14ac:dyDescent="0.25">
      <c r="A184" s="55">
        <v>38</v>
      </c>
      <c r="B184" s="55">
        <v>9</v>
      </c>
      <c r="C184" s="48">
        <v>183</v>
      </c>
      <c r="D184" s="48" t="s">
        <v>49</v>
      </c>
      <c r="E184" s="48" t="s">
        <v>203</v>
      </c>
      <c r="F184" s="48">
        <v>3</v>
      </c>
    </row>
    <row r="185" spans="1:15" ht="16.350000000000001" customHeight="1" x14ac:dyDescent="0.25">
      <c r="A185" s="55">
        <v>38</v>
      </c>
      <c r="B185" s="55">
        <v>10</v>
      </c>
      <c r="C185" s="48">
        <v>184</v>
      </c>
      <c r="D185" s="48" t="s">
        <v>1</v>
      </c>
      <c r="E185" s="48" t="s">
        <v>18</v>
      </c>
      <c r="F185" s="48">
        <v>140</v>
      </c>
      <c r="G185" s="48">
        <v>140</v>
      </c>
      <c r="H185" s="48">
        <v>24.000000000099998</v>
      </c>
      <c r="I185" s="48" t="s">
        <v>100</v>
      </c>
      <c r="J185" s="48" t="s">
        <v>748</v>
      </c>
      <c r="K185" s="48" t="s">
        <v>100</v>
      </c>
      <c r="L185" s="48" t="s">
        <v>19</v>
      </c>
      <c r="M185" s="48">
        <v>3.75</v>
      </c>
      <c r="N185" s="48">
        <v>2.8</v>
      </c>
    </row>
    <row r="186" spans="1:15" ht="16.350000000000001" customHeight="1" x14ac:dyDescent="0.25">
      <c r="A186" s="55">
        <v>38</v>
      </c>
      <c r="B186" s="55">
        <v>11</v>
      </c>
      <c r="C186" s="48">
        <v>185</v>
      </c>
      <c r="D186" s="48" t="s">
        <v>1</v>
      </c>
      <c r="E186" s="48" t="s">
        <v>18</v>
      </c>
      <c r="F186" s="48" t="s">
        <v>100</v>
      </c>
      <c r="G186" s="48" t="s">
        <v>100</v>
      </c>
      <c r="H186" s="48" t="s">
        <v>100</v>
      </c>
      <c r="I186" s="48" t="s">
        <v>697</v>
      </c>
      <c r="J186" s="48" t="s">
        <v>100</v>
      </c>
      <c r="K186" s="48" t="s">
        <v>100</v>
      </c>
      <c r="L186" s="48" t="s">
        <v>19</v>
      </c>
      <c r="M186" s="48">
        <v>3.75</v>
      </c>
      <c r="N186" s="48">
        <v>2.8</v>
      </c>
    </row>
    <row r="187" spans="1:15" ht="16.350000000000001" customHeight="1" x14ac:dyDescent="0.25">
      <c r="A187" s="55">
        <v>38</v>
      </c>
      <c r="B187" s="55">
        <v>12</v>
      </c>
      <c r="C187" s="48">
        <v>186</v>
      </c>
      <c r="D187" s="48" t="s">
        <v>1</v>
      </c>
      <c r="E187" s="48" t="s">
        <v>18</v>
      </c>
      <c r="F187" s="48" t="s">
        <v>100</v>
      </c>
      <c r="G187" s="48" t="s">
        <v>100</v>
      </c>
      <c r="H187" s="48" t="s">
        <v>100</v>
      </c>
      <c r="I187" s="48" t="s">
        <v>100</v>
      </c>
      <c r="J187" s="48" t="s">
        <v>749</v>
      </c>
      <c r="K187" s="48" t="s">
        <v>100</v>
      </c>
      <c r="L187" s="48" t="s">
        <v>19</v>
      </c>
      <c r="M187" s="48">
        <v>3.75</v>
      </c>
      <c r="N187" s="48">
        <v>2.8</v>
      </c>
    </row>
    <row r="188" spans="1:15" ht="16.350000000000001" customHeight="1" x14ac:dyDescent="0.25">
      <c r="A188" s="55">
        <v>38</v>
      </c>
      <c r="B188" s="55">
        <v>13</v>
      </c>
      <c r="C188" s="48">
        <v>187</v>
      </c>
      <c r="D188" s="48" t="s">
        <v>1</v>
      </c>
      <c r="E188" s="48" t="s">
        <v>18</v>
      </c>
      <c r="F188" s="48" t="s">
        <v>100</v>
      </c>
      <c r="G188" s="48" t="s">
        <v>100</v>
      </c>
      <c r="H188" s="48" t="s">
        <v>100</v>
      </c>
      <c r="I188" s="48" t="s">
        <v>744</v>
      </c>
      <c r="J188" s="48" t="s">
        <v>100</v>
      </c>
      <c r="K188" s="48" t="s">
        <v>100</v>
      </c>
      <c r="L188" s="48" t="s">
        <v>19</v>
      </c>
      <c r="M188" s="48">
        <v>3.75</v>
      </c>
      <c r="N188" s="48">
        <v>2.8</v>
      </c>
    </row>
    <row r="189" spans="1:15" ht="16.350000000000001" customHeight="1" x14ac:dyDescent="0.25">
      <c r="A189" s="55">
        <v>38</v>
      </c>
      <c r="B189" s="55">
        <v>14</v>
      </c>
      <c r="C189" s="48">
        <v>188</v>
      </c>
      <c r="D189" s="48" t="s">
        <v>55</v>
      </c>
      <c r="E189" s="48" t="s">
        <v>763</v>
      </c>
      <c r="F189" s="48">
        <v>0</v>
      </c>
      <c r="G189" s="48">
        <v>-16.399999999999999</v>
      </c>
      <c r="H189" s="48">
        <v>0</v>
      </c>
      <c r="I189" s="48">
        <v>1</v>
      </c>
    </row>
    <row r="190" spans="1:15" ht="16.350000000000001" customHeight="1" x14ac:dyDescent="0.25">
      <c r="A190" s="55">
        <v>38</v>
      </c>
      <c r="B190" s="55">
        <v>15</v>
      </c>
      <c r="C190" s="48">
        <v>189</v>
      </c>
      <c r="D190" s="48" t="s">
        <v>39</v>
      </c>
      <c r="E190" s="48">
        <v>0</v>
      </c>
      <c r="F190" s="48">
        <v>0</v>
      </c>
      <c r="G190" s="48">
        <v>2</v>
      </c>
      <c r="H190" s="48">
        <v>5000</v>
      </c>
    </row>
    <row r="191" spans="1:15" ht="16.350000000000001" customHeight="1" x14ac:dyDescent="0.25">
      <c r="A191" s="55">
        <v>38</v>
      </c>
      <c r="B191" s="55">
        <v>16</v>
      </c>
      <c r="C191" s="48">
        <v>190</v>
      </c>
      <c r="D191" s="48" t="s">
        <v>1</v>
      </c>
      <c r="E191" s="48" t="s">
        <v>18</v>
      </c>
      <c r="F191" s="48" t="s">
        <v>100</v>
      </c>
      <c r="G191" s="48" t="s">
        <v>100</v>
      </c>
      <c r="H191" s="48" t="s">
        <v>100</v>
      </c>
      <c r="I191" s="48" t="s">
        <v>697</v>
      </c>
      <c r="J191" s="48" t="s">
        <v>100</v>
      </c>
      <c r="K191" s="48" t="s">
        <v>100</v>
      </c>
      <c r="L191" s="48" t="s">
        <v>19</v>
      </c>
      <c r="M191" s="48">
        <v>3.75</v>
      </c>
      <c r="N191" s="48">
        <v>2.8</v>
      </c>
    </row>
    <row r="192" spans="1:15" ht="16.350000000000001" customHeight="1" x14ac:dyDescent="0.25">
      <c r="A192" s="55">
        <v>38</v>
      </c>
      <c r="B192" s="55">
        <v>17</v>
      </c>
      <c r="C192" s="48">
        <v>191</v>
      </c>
      <c r="D192" s="48" t="s">
        <v>1</v>
      </c>
      <c r="E192" s="48" t="s">
        <v>18</v>
      </c>
      <c r="F192" s="48" t="s">
        <v>100</v>
      </c>
      <c r="G192" s="48" t="s">
        <v>100</v>
      </c>
      <c r="H192" s="48" t="s">
        <v>100</v>
      </c>
      <c r="I192" s="48" t="s">
        <v>100</v>
      </c>
      <c r="J192" s="48" t="s">
        <v>751</v>
      </c>
      <c r="K192" s="48" t="s">
        <v>100</v>
      </c>
      <c r="L192" s="48" t="s">
        <v>19</v>
      </c>
      <c r="M192" s="48">
        <v>3.75</v>
      </c>
      <c r="N192" s="48">
        <v>2.8</v>
      </c>
      <c r="O192" s="56"/>
    </row>
    <row r="193" spans="1:15" ht="16.350000000000001" customHeight="1" x14ac:dyDescent="0.25">
      <c r="A193" s="55">
        <v>38</v>
      </c>
      <c r="B193" s="55">
        <v>18</v>
      </c>
      <c r="C193" s="48">
        <v>192</v>
      </c>
      <c r="D193" s="48" t="s">
        <v>1</v>
      </c>
      <c r="E193" s="48" t="s">
        <v>18</v>
      </c>
      <c r="F193" s="48" t="s">
        <v>100</v>
      </c>
      <c r="G193" s="48" t="s">
        <v>100</v>
      </c>
      <c r="H193" s="48" t="s">
        <v>100</v>
      </c>
      <c r="I193" s="48" t="s">
        <v>744</v>
      </c>
      <c r="J193" s="48" t="s">
        <v>100</v>
      </c>
      <c r="K193" s="48" t="s">
        <v>100</v>
      </c>
      <c r="L193" s="48" t="s">
        <v>19</v>
      </c>
      <c r="M193" s="48">
        <v>3.75</v>
      </c>
      <c r="N193" s="48">
        <v>2.8</v>
      </c>
    </row>
    <row r="194" spans="1:15" ht="16.350000000000001" customHeight="1" x14ac:dyDescent="0.25">
      <c r="A194" s="55">
        <v>38</v>
      </c>
      <c r="B194" s="55">
        <v>19</v>
      </c>
      <c r="C194" s="48">
        <v>193</v>
      </c>
      <c r="D194" s="48" t="s">
        <v>1</v>
      </c>
      <c r="E194" s="48" t="s">
        <v>18</v>
      </c>
      <c r="F194" s="48" t="s">
        <v>100</v>
      </c>
      <c r="G194" s="48" t="s">
        <v>100</v>
      </c>
      <c r="H194" s="48" t="s">
        <v>100</v>
      </c>
      <c r="I194" s="48" t="s">
        <v>100</v>
      </c>
      <c r="J194" s="48" t="s">
        <v>752</v>
      </c>
      <c r="K194" s="48" t="s">
        <v>100</v>
      </c>
      <c r="L194" s="48" t="s">
        <v>19</v>
      </c>
      <c r="M194" s="48">
        <v>3.75</v>
      </c>
      <c r="N194" s="48">
        <v>2.8</v>
      </c>
    </row>
    <row r="195" spans="1:15" ht="16.350000000000001" customHeight="1" x14ac:dyDescent="0.25">
      <c r="A195" s="55">
        <v>38</v>
      </c>
      <c r="B195" s="55">
        <v>20</v>
      </c>
      <c r="C195" s="48">
        <v>194</v>
      </c>
      <c r="D195" s="48" t="s">
        <v>55</v>
      </c>
      <c r="E195" s="48" t="s">
        <v>787</v>
      </c>
      <c r="F195" s="48">
        <v>0</v>
      </c>
      <c r="G195" s="48">
        <v>16.399999999999999</v>
      </c>
      <c r="H195" s="48">
        <v>0</v>
      </c>
      <c r="I195" s="48">
        <v>1</v>
      </c>
    </row>
    <row r="196" spans="1:15" ht="16.350000000000001" customHeight="1" x14ac:dyDescent="0.25">
      <c r="A196" s="55">
        <v>38</v>
      </c>
      <c r="B196" s="55">
        <v>21</v>
      </c>
      <c r="C196" s="48">
        <v>195</v>
      </c>
      <c r="D196" s="48" t="s">
        <v>698</v>
      </c>
      <c r="E196" s="48">
        <v>0.35</v>
      </c>
      <c r="F196" s="48">
        <v>80</v>
      </c>
      <c r="G196" s="48">
        <v>4</v>
      </c>
      <c r="H196" s="48">
        <v>5000</v>
      </c>
    </row>
    <row r="197" spans="1:15" ht="16.350000000000001" customHeight="1" x14ac:dyDescent="0.25">
      <c r="A197" s="55">
        <v>38</v>
      </c>
      <c r="B197" s="55">
        <v>22</v>
      </c>
      <c r="C197" s="48">
        <v>196</v>
      </c>
      <c r="D197" s="48" t="s">
        <v>49</v>
      </c>
      <c r="E197" s="48" t="s">
        <v>203</v>
      </c>
      <c r="F197" s="48">
        <v>2</v>
      </c>
    </row>
    <row r="198" spans="1:15" ht="16.350000000000001" customHeight="1" x14ac:dyDescent="0.25">
      <c r="A198" s="55">
        <v>38</v>
      </c>
      <c r="B198" s="55">
        <v>23</v>
      </c>
      <c r="C198" s="48">
        <v>197</v>
      </c>
      <c r="D198" s="48" t="s">
        <v>1</v>
      </c>
      <c r="E198" s="48" t="s">
        <v>18</v>
      </c>
      <c r="F198" s="48" t="s">
        <v>100</v>
      </c>
      <c r="G198" s="48" t="s">
        <v>100</v>
      </c>
      <c r="H198" s="48" t="s">
        <v>100</v>
      </c>
      <c r="I198" s="48" t="s">
        <v>100</v>
      </c>
      <c r="J198" s="48" t="s">
        <v>100</v>
      </c>
      <c r="K198" s="48">
        <v>26</v>
      </c>
      <c r="L198" s="48" t="s">
        <v>23</v>
      </c>
      <c r="M198" s="48">
        <v>3.75</v>
      </c>
      <c r="N198" s="48">
        <v>2.8</v>
      </c>
    </row>
    <row r="199" spans="1:15" ht="16.350000000000001" customHeight="1" x14ac:dyDescent="0.25">
      <c r="A199" s="55">
        <v>38</v>
      </c>
      <c r="B199" s="55">
        <v>24</v>
      </c>
      <c r="C199" s="48">
        <v>198</v>
      </c>
      <c r="D199" s="48" t="s">
        <v>172</v>
      </c>
      <c r="E199" s="48" t="s">
        <v>712</v>
      </c>
      <c r="F199" s="48">
        <v>155</v>
      </c>
      <c r="G199" s="48" t="s">
        <v>761</v>
      </c>
      <c r="H199" s="48">
        <v>0</v>
      </c>
      <c r="I199" s="48">
        <v>1</v>
      </c>
      <c r="J199" s="48">
        <v>1</v>
      </c>
      <c r="K199" s="48">
        <v>3.75</v>
      </c>
      <c r="L199" s="48">
        <v>2.8</v>
      </c>
    </row>
    <row r="200" spans="1:15" ht="16.350000000000001" customHeight="1" x14ac:dyDescent="0.25">
      <c r="A200" s="55">
        <v>38</v>
      </c>
      <c r="B200" s="55">
        <v>25</v>
      </c>
      <c r="C200" s="48">
        <v>199</v>
      </c>
      <c r="D200" s="48" t="s">
        <v>1</v>
      </c>
      <c r="E200" s="48" t="s">
        <v>18</v>
      </c>
      <c r="F200" s="48" t="s">
        <v>100</v>
      </c>
      <c r="G200" s="48" t="s">
        <v>100</v>
      </c>
      <c r="H200" s="48" t="s">
        <v>100</v>
      </c>
      <c r="I200" s="48">
        <v>275</v>
      </c>
      <c r="J200" s="48">
        <v>135</v>
      </c>
      <c r="K200" s="48">
        <v>26</v>
      </c>
      <c r="L200" s="48" t="s">
        <v>19</v>
      </c>
      <c r="M200" s="48">
        <v>3.75</v>
      </c>
      <c r="N200" s="48">
        <v>2.8</v>
      </c>
    </row>
    <row r="201" spans="1:15" ht="16.350000000000001" customHeight="1" x14ac:dyDescent="0.25">
      <c r="A201" s="55">
        <v>38</v>
      </c>
      <c r="B201" s="55">
        <v>26</v>
      </c>
      <c r="C201" s="48">
        <v>200</v>
      </c>
      <c r="D201" s="48" t="s">
        <v>1</v>
      </c>
      <c r="E201" s="48" t="s">
        <v>18</v>
      </c>
      <c r="F201" s="48" t="s">
        <v>100</v>
      </c>
      <c r="G201" s="48" t="s">
        <v>100</v>
      </c>
      <c r="H201" s="48" t="s">
        <v>100</v>
      </c>
      <c r="I201" s="48" t="s">
        <v>744</v>
      </c>
      <c r="J201" s="48" t="s">
        <v>100</v>
      </c>
      <c r="K201" s="48" t="s">
        <v>100</v>
      </c>
      <c r="L201" s="48" t="s">
        <v>19</v>
      </c>
      <c r="M201" s="48">
        <v>3.75</v>
      </c>
      <c r="N201" s="48">
        <v>2.8</v>
      </c>
    </row>
    <row r="202" spans="1:15" ht="16.350000000000001" customHeight="1" x14ac:dyDescent="0.25">
      <c r="A202" s="55">
        <v>38</v>
      </c>
      <c r="B202" s="55">
        <v>27</v>
      </c>
      <c r="C202" s="48">
        <v>201</v>
      </c>
      <c r="D202" s="48" t="s">
        <v>1</v>
      </c>
      <c r="E202" s="48" t="s">
        <v>18</v>
      </c>
      <c r="F202" s="48" t="s">
        <v>100</v>
      </c>
      <c r="G202" s="48" t="s">
        <v>100</v>
      </c>
      <c r="H202" s="48" t="s">
        <v>100</v>
      </c>
      <c r="I202" s="48" t="s">
        <v>100</v>
      </c>
      <c r="J202" s="48" t="s">
        <v>745</v>
      </c>
      <c r="K202" s="48" t="s">
        <v>100</v>
      </c>
      <c r="L202" s="48" t="s">
        <v>19</v>
      </c>
      <c r="M202" s="48">
        <v>3.75</v>
      </c>
      <c r="N202" s="48">
        <v>2.8</v>
      </c>
    </row>
    <row r="203" spans="1:15" ht="16.350000000000001" customHeight="1" x14ac:dyDescent="0.25">
      <c r="A203" s="55">
        <v>38</v>
      </c>
      <c r="B203" s="55">
        <v>28</v>
      </c>
      <c r="C203" s="48">
        <v>202</v>
      </c>
      <c r="D203" s="48" t="s">
        <v>1</v>
      </c>
      <c r="E203" s="48" t="s">
        <v>18</v>
      </c>
      <c r="F203" s="48" t="s">
        <v>100</v>
      </c>
      <c r="G203" s="48" t="s">
        <v>100</v>
      </c>
      <c r="H203" s="48" t="s">
        <v>100</v>
      </c>
      <c r="I203" s="48" t="s">
        <v>697</v>
      </c>
      <c r="J203" s="48" t="s">
        <v>100</v>
      </c>
      <c r="K203" s="48" t="s">
        <v>100</v>
      </c>
      <c r="L203" s="48" t="s">
        <v>19</v>
      </c>
      <c r="M203" s="48">
        <v>3.75</v>
      </c>
      <c r="N203" s="48">
        <v>2.8</v>
      </c>
      <c r="O203" s="56"/>
    </row>
    <row r="204" spans="1:15" ht="16.350000000000001" customHeight="1" x14ac:dyDescent="0.25">
      <c r="A204" s="55">
        <v>38</v>
      </c>
      <c r="B204" s="55">
        <v>29</v>
      </c>
      <c r="C204" s="48">
        <v>203</v>
      </c>
      <c r="D204" s="48" t="s">
        <v>1</v>
      </c>
      <c r="E204" s="48" t="s">
        <v>18</v>
      </c>
      <c r="F204" s="48" t="s">
        <v>100</v>
      </c>
      <c r="G204" s="48" t="s">
        <v>100</v>
      </c>
      <c r="H204" s="48" t="s">
        <v>100</v>
      </c>
      <c r="I204" s="48" t="s">
        <v>100</v>
      </c>
      <c r="J204" s="48" t="s">
        <v>746</v>
      </c>
      <c r="K204" s="48" t="s">
        <v>100</v>
      </c>
      <c r="L204" s="48" t="s">
        <v>19</v>
      </c>
      <c r="M204" s="48">
        <v>3.75</v>
      </c>
      <c r="N204" s="48">
        <v>2.8</v>
      </c>
    </row>
    <row r="205" spans="1:15" ht="16.350000000000001" customHeight="1" x14ac:dyDescent="0.25">
      <c r="A205" s="55">
        <v>38</v>
      </c>
      <c r="B205" s="55">
        <v>30</v>
      </c>
      <c r="C205" s="48">
        <v>204</v>
      </c>
      <c r="D205" s="48" t="s">
        <v>55</v>
      </c>
      <c r="E205" s="48" t="s">
        <v>768</v>
      </c>
      <c r="F205" s="48">
        <v>0</v>
      </c>
      <c r="G205" s="48">
        <v>-16.399999999999999</v>
      </c>
      <c r="H205" s="48">
        <v>0</v>
      </c>
      <c r="I205" s="48">
        <v>1</v>
      </c>
    </row>
    <row r="206" spans="1:15" ht="16.350000000000001" customHeight="1" x14ac:dyDescent="0.25">
      <c r="A206" s="55">
        <v>38</v>
      </c>
      <c r="B206" s="55">
        <v>31</v>
      </c>
      <c r="C206" s="48">
        <v>205</v>
      </c>
      <c r="D206" s="48" t="s">
        <v>39</v>
      </c>
      <c r="E206" s="48">
        <v>0</v>
      </c>
      <c r="F206" s="48">
        <v>0</v>
      </c>
      <c r="G206" s="48">
        <v>2</v>
      </c>
      <c r="H206" s="48">
        <v>5000</v>
      </c>
    </row>
    <row r="207" spans="1:15" ht="16.350000000000001" customHeight="1" x14ac:dyDescent="0.25">
      <c r="A207" s="55">
        <v>38</v>
      </c>
      <c r="B207" s="55">
        <v>32</v>
      </c>
      <c r="C207" s="48">
        <v>206</v>
      </c>
      <c r="D207" s="48" t="s">
        <v>1</v>
      </c>
      <c r="E207" s="48" t="s">
        <v>18</v>
      </c>
      <c r="F207" s="48" t="s">
        <v>100</v>
      </c>
      <c r="G207" s="48" t="s">
        <v>100</v>
      </c>
      <c r="H207" s="48" t="s">
        <v>100</v>
      </c>
      <c r="I207" s="48" t="s">
        <v>100</v>
      </c>
      <c r="J207" s="48" t="s">
        <v>759</v>
      </c>
      <c r="K207" s="48" t="s">
        <v>100</v>
      </c>
      <c r="L207" s="48" t="s">
        <v>19</v>
      </c>
      <c r="M207" s="48">
        <v>3.75</v>
      </c>
      <c r="N207" s="48">
        <v>2.8</v>
      </c>
    </row>
    <row r="208" spans="1:15" ht="16.350000000000001" customHeight="1" x14ac:dyDescent="0.25">
      <c r="A208" s="55">
        <v>38</v>
      </c>
      <c r="B208" s="55">
        <v>33</v>
      </c>
      <c r="C208" s="48">
        <v>207</v>
      </c>
      <c r="D208" s="48" t="s">
        <v>1</v>
      </c>
      <c r="E208" s="48" t="s">
        <v>18</v>
      </c>
      <c r="F208" s="48" t="s">
        <v>100</v>
      </c>
      <c r="G208" s="48" t="s">
        <v>100</v>
      </c>
      <c r="H208" s="48" t="s">
        <v>100</v>
      </c>
      <c r="I208" s="48" t="s">
        <v>744</v>
      </c>
      <c r="J208" s="48" t="s">
        <v>100</v>
      </c>
      <c r="K208" s="48" t="s">
        <v>100</v>
      </c>
      <c r="L208" s="48" t="s">
        <v>19</v>
      </c>
      <c r="M208" s="48">
        <v>3.75</v>
      </c>
      <c r="N208" s="48">
        <v>2.8</v>
      </c>
    </row>
    <row r="209" spans="1:15" ht="16.350000000000001" customHeight="1" x14ac:dyDescent="0.25">
      <c r="A209" s="55">
        <v>38</v>
      </c>
      <c r="B209" s="55">
        <v>34</v>
      </c>
      <c r="C209" s="48">
        <v>208</v>
      </c>
      <c r="D209" s="48" t="s">
        <v>1</v>
      </c>
      <c r="E209" s="48" t="s">
        <v>18</v>
      </c>
      <c r="F209" s="48" t="s">
        <v>100</v>
      </c>
      <c r="G209" s="48" t="s">
        <v>100</v>
      </c>
      <c r="H209" s="48" t="s">
        <v>100</v>
      </c>
      <c r="I209" s="48" t="s">
        <v>100</v>
      </c>
      <c r="J209" s="48" t="s">
        <v>364</v>
      </c>
      <c r="K209" s="48" t="s">
        <v>100</v>
      </c>
      <c r="L209" s="48" t="s">
        <v>19</v>
      </c>
      <c r="M209" s="48">
        <v>3.75</v>
      </c>
      <c r="N209" s="48">
        <v>2.8</v>
      </c>
    </row>
    <row r="210" spans="1:15" ht="16.350000000000001" customHeight="1" x14ac:dyDescent="0.25">
      <c r="A210" s="55">
        <v>38</v>
      </c>
      <c r="B210" s="55">
        <v>35</v>
      </c>
      <c r="C210" s="48">
        <v>209</v>
      </c>
      <c r="D210" s="48" t="s">
        <v>1</v>
      </c>
      <c r="E210" s="48" t="s">
        <v>18</v>
      </c>
      <c r="F210" s="48" t="s">
        <v>100</v>
      </c>
      <c r="G210" s="48" t="s">
        <v>100</v>
      </c>
      <c r="H210" s="48" t="s">
        <v>100</v>
      </c>
      <c r="I210" s="48" t="s">
        <v>697</v>
      </c>
      <c r="J210" s="48" t="s">
        <v>100</v>
      </c>
      <c r="K210" s="48" t="s">
        <v>100</v>
      </c>
      <c r="L210" s="48" t="s">
        <v>19</v>
      </c>
      <c r="M210" s="48">
        <v>3.75</v>
      </c>
      <c r="N210" s="48">
        <v>2.8</v>
      </c>
    </row>
    <row r="211" spans="1:15" ht="16.350000000000001" customHeight="1" x14ac:dyDescent="0.25">
      <c r="A211" s="55">
        <v>38</v>
      </c>
      <c r="B211" s="55">
        <v>36</v>
      </c>
      <c r="C211" s="48">
        <v>210</v>
      </c>
      <c r="D211" s="48" t="s">
        <v>55</v>
      </c>
      <c r="E211" s="48" t="s">
        <v>764</v>
      </c>
      <c r="F211" s="48">
        <v>0</v>
      </c>
      <c r="G211" s="48">
        <v>16.399999999999999</v>
      </c>
      <c r="H211" s="48">
        <v>0</v>
      </c>
      <c r="I211" s="48">
        <v>1</v>
      </c>
    </row>
    <row r="212" spans="1:15" ht="16.350000000000001" customHeight="1" x14ac:dyDescent="0.25">
      <c r="A212" s="55">
        <v>38</v>
      </c>
      <c r="B212" s="55">
        <v>37</v>
      </c>
      <c r="C212" s="48">
        <v>211</v>
      </c>
      <c r="D212" s="48" t="s">
        <v>39</v>
      </c>
      <c r="E212" s="48">
        <v>0</v>
      </c>
      <c r="F212" s="48">
        <v>0</v>
      </c>
      <c r="G212" s="48">
        <v>4</v>
      </c>
      <c r="H212" s="48">
        <v>5000</v>
      </c>
    </row>
    <row r="213" spans="1:15" ht="16.350000000000001" customHeight="1" x14ac:dyDescent="0.25">
      <c r="A213" s="55">
        <v>38</v>
      </c>
      <c r="B213" s="55">
        <v>9</v>
      </c>
      <c r="C213" s="48">
        <v>212</v>
      </c>
      <c r="D213" s="48" t="s">
        <v>49</v>
      </c>
      <c r="E213" s="48" t="s">
        <v>203</v>
      </c>
      <c r="F213" s="48">
        <v>3</v>
      </c>
    </row>
    <row r="214" spans="1:15" ht="16.350000000000001" customHeight="1" x14ac:dyDescent="0.25">
      <c r="A214" s="55">
        <v>38</v>
      </c>
      <c r="B214" s="55">
        <v>10</v>
      </c>
      <c r="C214" s="48">
        <v>213</v>
      </c>
      <c r="D214" s="48" t="s">
        <v>1</v>
      </c>
      <c r="E214" s="48" t="s">
        <v>18</v>
      </c>
      <c r="F214" s="48">
        <v>140</v>
      </c>
      <c r="G214" s="48">
        <v>140</v>
      </c>
      <c r="H214" s="48">
        <v>28.000000000099998</v>
      </c>
      <c r="I214" s="48" t="s">
        <v>100</v>
      </c>
      <c r="J214" s="48" t="s">
        <v>748</v>
      </c>
      <c r="K214" s="48" t="s">
        <v>100</v>
      </c>
      <c r="L214" s="48" t="s">
        <v>19</v>
      </c>
      <c r="M214" s="48">
        <v>3.75</v>
      </c>
      <c r="N214" s="48">
        <v>2.8</v>
      </c>
      <c r="O214" s="56"/>
    </row>
    <row r="215" spans="1:15" ht="16.350000000000001" customHeight="1" x14ac:dyDescent="0.25">
      <c r="A215" s="55">
        <v>38</v>
      </c>
      <c r="B215" s="55">
        <v>11</v>
      </c>
      <c r="C215" s="48">
        <v>214</v>
      </c>
      <c r="D215" s="48" t="s">
        <v>1</v>
      </c>
      <c r="E215" s="48" t="s">
        <v>18</v>
      </c>
      <c r="F215" s="48" t="s">
        <v>100</v>
      </c>
      <c r="G215" s="48" t="s">
        <v>100</v>
      </c>
      <c r="H215" s="48" t="s">
        <v>100</v>
      </c>
      <c r="I215" s="48" t="s">
        <v>697</v>
      </c>
      <c r="J215" s="48" t="s">
        <v>100</v>
      </c>
      <c r="K215" s="48" t="s">
        <v>100</v>
      </c>
      <c r="L215" s="48" t="s">
        <v>19</v>
      </c>
      <c r="M215" s="48">
        <v>3.75</v>
      </c>
      <c r="N215" s="48">
        <v>2.8</v>
      </c>
    </row>
    <row r="216" spans="1:15" ht="16.350000000000001" customHeight="1" x14ac:dyDescent="0.25">
      <c r="A216" s="55">
        <v>38</v>
      </c>
      <c r="B216" s="55">
        <v>12</v>
      </c>
      <c r="C216" s="48">
        <v>215</v>
      </c>
      <c r="D216" s="48" t="s">
        <v>1</v>
      </c>
      <c r="E216" s="48" t="s">
        <v>18</v>
      </c>
      <c r="F216" s="48" t="s">
        <v>100</v>
      </c>
      <c r="G216" s="48" t="s">
        <v>100</v>
      </c>
      <c r="H216" s="48" t="s">
        <v>100</v>
      </c>
      <c r="I216" s="48" t="s">
        <v>100</v>
      </c>
      <c r="J216" s="48" t="s">
        <v>749</v>
      </c>
      <c r="K216" s="48" t="s">
        <v>100</v>
      </c>
      <c r="L216" s="48" t="s">
        <v>19</v>
      </c>
      <c r="M216" s="48">
        <v>3.75</v>
      </c>
      <c r="N216" s="48">
        <v>2.8</v>
      </c>
    </row>
    <row r="217" spans="1:15" ht="16.350000000000001" customHeight="1" x14ac:dyDescent="0.25">
      <c r="A217" s="55">
        <v>38</v>
      </c>
      <c r="B217" s="55">
        <v>13</v>
      </c>
      <c r="C217" s="48">
        <v>216</v>
      </c>
      <c r="D217" s="48" t="s">
        <v>1</v>
      </c>
      <c r="E217" s="48" t="s">
        <v>18</v>
      </c>
      <c r="F217" s="48" t="s">
        <v>100</v>
      </c>
      <c r="G217" s="48" t="s">
        <v>100</v>
      </c>
      <c r="H217" s="48" t="s">
        <v>100</v>
      </c>
      <c r="I217" s="48" t="s">
        <v>744</v>
      </c>
      <c r="J217" s="48" t="s">
        <v>100</v>
      </c>
      <c r="K217" s="48" t="s">
        <v>100</v>
      </c>
      <c r="L217" s="48" t="s">
        <v>19</v>
      </c>
      <c r="M217" s="48">
        <v>3.75</v>
      </c>
      <c r="N217" s="48">
        <v>2.8</v>
      </c>
    </row>
    <row r="218" spans="1:15" ht="16.350000000000001" customHeight="1" x14ac:dyDescent="0.25">
      <c r="A218" s="55">
        <v>38</v>
      </c>
      <c r="B218" s="55">
        <v>14</v>
      </c>
      <c r="C218" s="48">
        <v>217</v>
      </c>
      <c r="D218" s="48" t="s">
        <v>55</v>
      </c>
      <c r="E218" s="48" t="s">
        <v>769</v>
      </c>
      <c r="F218" s="48">
        <v>0</v>
      </c>
      <c r="G218" s="48">
        <v>-16.399999999999999</v>
      </c>
      <c r="H218" s="48">
        <v>0</v>
      </c>
      <c r="I218" s="48">
        <v>1</v>
      </c>
    </row>
    <row r="219" spans="1:15" ht="16.350000000000001" customHeight="1" x14ac:dyDescent="0.25">
      <c r="A219" s="55">
        <v>38</v>
      </c>
      <c r="B219" s="55">
        <v>15</v>
      </c>
      <c r="C219" s="48">
        <v>218</v>
      </c>
      <c r="D219" s="48" t="s">
        <v>39</v>
      </c>
      <c r="E219" s="48">
        <v>0</v>
      </c>
      <c r="F219" s="48">
        <v>0</v>
      </c>
      <c r="G219" s="48">
        <v>2</v>
      </c>
      <c r="H219" s="48">
        <v>5000</v>
      </c>
    </row>
    <row r="220" spans="1:15" ht="16.350000000000001" customHeight="1" x14ac:dyDescent="0.25">
      <c r="A220" s="55">
        <v>38</v>
      </c>
      <c r="B220" s="55">
        <v>16</v>
      </c>
      <c r="C220" s="48">
        <v>219</v>
      </c>
      <c r="D220" s="48" t="s">
        <v>1</v>
      </c>
      <c r="E220" s="48" t="s">
        <v>18</v>
      </c>
      <c r="F220" s="48" t="s">
        <v>100</v>
      </c>
      <c r="G220" s="48" t="s">
        <v>100</v>
      </c>
      <c r="H220" s="48" t="s">
        <v>100</v>
      </c>
      <c r="I220" s="48" t="s">
        <v>697</v>
      </c>
      <c r="J220" s="48" t="s">
        <v>100</v>
      </c>
      <c r="K220" s="48" t="s">
        <v>100</v>
      </c>
      <c r="L220" s="48" t="s">
        <v>19</v>
      </c>
      <c r="M220" s="48">
        <v>3.75</v>
      </c>
      <c r="N220" s="48">
        <v>2.8</v>
      </c>
    </row>
    <row r="221" spans="1:15" ht="16.350000000000001" customHeight="1" x14ac:dyDescent="0.25">
      <c r="A221" s="55">
        <v>38</v>
      </c>
      <c r="B221" s="55">
        <v>17</v>
      </c>
      <c r="C221" s="48">
        <v>220</v>
      </c>
      <c r="D221" s="48" t="s">
        <v>1</v>
      </c>
      <c r="E221" s="48" t="s">
        <v>18</v>
      </c>
      <c r="F221" s="48" t="s">
        <v>100</v>
      </c>
      <c r="G221" s="48" t="s">
        <v>100</v>
      </c>
      <c r="H221" s="48" t="s">
        <v>100</v>
      </c>
      <c r="I221" s="48" t="s">
        <v>100</v>
      </c>
      <c r="J221" s="48" t="s">
        <v>751</v>
      </c>
      <c r="K221" s="48" t="s">
        <v>100</v>
      </c>
      <c r="L221" s="48" t="s">
        <v>19</v>
      </c>
      <c r="M221" s="48">
        <v>3.75</v>
      </c>
      <c r="N221" s="48">
        <v>2.8</v>
      </c>
    </row>
    <row r="222" spans="1:15" ht="16.350000000000001" customHeight="1" x14ac:dyDescent="0.25">
      <c r="A222" s="55">
        <v>38</v>
      </c>
      <c r="B222" s="55">
        <v>18</v>
      </c>
      <c r="C222" s="48">
        <v>221</v>
      </c>
      <c r="D222" s="48" t="s">
        <v>1</v>
      </c>
      <c r="E222" s="48" t="s">
        <v>18</v>
      </c>
      <c r="F222" s="48" t="s">
        <v>100</v>
      </c>
      <c r="G222" s="48" t="s">
        <v>100</v>
      </c>
      <c r="H222" s="48" t="s">
        <v>100</v>
      </c>
      <c r="I222" s="48" t="s">
        <v>744</v>
      </c>
      <c r="J222" s="48" t="s">
        <v>100</v>
      </c>
      <c r="K222" s="48" t="s">
        <v>100</v>
      </c>
      <c r="L222" s="48" t="s">
        <v>19</v>
      </c>
      <c r="M222" s="48">
        <v>3.75</v>
      </c>
      <c r="N222" s="48">
        <v>2.8</v>
      </c>
    </row>
    <row r="223" spans="1:15" ht="16.350000000000001" customHeight="1" x14ac:dyDescent="0.25">
      <c r="A223" s="55">
        <v>38</v>
      </c>
      <c r="B223" s="55">
        <v>19</v>
      </c>
      <c r="C223" s="48">
        <v>222</v>
      </c>
      <c r="D223" s="48" t="s">
        <v>1</v>
      </c>
      <c r="E223" s="48" t="s">
        <v>18</v>
      </c>
      <c r="F223" s="48" t="s">
        <v>100</v>
      </c>
      <c r="G223" s="48" t="s">
        <v>100</v>
      </c>
      <c r="H223" s="48" t="s">
        <v>100</v>
      </c>
      <c r="I223" s="48" t="s">
        <v>100</v>
      </c>
      <c r="J223" s="48" t="s">
        <v>752</v>
      </c>
      <c r="K223" s="48" t="s">
        <v>100</v>
      </c>
      <c r="L223" s="48" t="s">
        <v>19</v>
      </c>
      <c r="M223" s="48">
        <v>3.75</v>
      </c>
      <c r="N223" s="48">
        <v>2.8</v>
      </c>
    </row>
    <row r="224" spans="1:15" ht="16.350000000000001" customHeight="1" x14ac:dyDescent="0.25">
      <c r="A224" s="55">
        <v>38</v>
      </c>
      <c r="B224" s="55">
        <v>20</v>
      </c>
      <c r="C224" s="48">
        <v>223</v>
      </c>
      <c r="D224" s="48" t="s">
        <v>55</v>
      </c>
      <c r="E224" s="48" t="s">
        <v>788</v>
      </c>
      <c r="F224" s="48">
        <v>0</v>
      </c>
      <c r="G224" s="48">
        <v>16.399999999999999</v>
      </c>
      <c r="H224" s="48">
        <v>0</v>
      </c>
      <c r="I224" s="48">
        <v>1</v>
      </c>
    </row>
    <row r="225" spans="1:15" ht="16.350000000000001" customHeight="1" x14ac:dyDescent="0.25">
      <c r="A225" s="55">
        <v>38</v>
      </c>
      <c r="B225" s="55">
        <v>21</v>
      </c>
      <c r="C225" s="48">
        <v>224</v>
      </c>
      <c r="D225" s="48" t="s">
        <v>698</v>
      </c>
      <c r="E225" s="48">
        <v>0.35</v>
      </c>
      <c r="F225" s="48">
        <v>80</v>
      </c>
      <c r="G225" s="48">
        <v>4</v>
      </c>
      <c r="H225" s="48">
        <v>5000</v>
      </c>
      <c r="O225" s="56"/>
    </row>
    <row r="226" spans="1:15" ht="16.350000000000001" customHeight="1" x14ac:dyDescent="0.25">
      <c r="A226" s="55">
        <v>38</v>
      </c>
      <c r="B226" s="55">
        <v>22</v>
      </c>
      <c r="C226" s="48">
        <v>225</v>
      </c>
      <c r="D226" s="48" t="s">
        <v>49</v>
      </c>
      <c r="E226" s="48" t="s">
        <v>203</v>
      </c>
      <c r="F226" s="48">
        <v>2</v>
      </c>
    </row>
    <row r="227" spans="1:15" ht="16.350000000000001" customHeight="1" x14ac:dyDescent="0.25">
      <c r="A227" s="55">
        <v>38</v>
      </c>
      <c r="B227" s="55">
        <v>23</v>
      </c>
      <c r="C227" s="48">
        <v>226</v>
      </c>
      <c r="D227" s="48" t="s">
        <v>1</v>
      </c>
      <c r="E227" s="48" t="s">
        <v>18</v>
      </c>
      <c r="F227" s="48" t="s">
        <v>100</v>
      </c>
      <c r="G227" s="48" t="s">
        <v>100</v>
      </c>
      <c r="H227" s="48" t="s">
        <v>100</v>
      </c>
      <c r="I227" s="48" t="s">
        <v>100</v>
      </c>
      <c r="J227" s="48" t="s">
        <v>100</v>
      </c>
      <c r="K227" s="48">
        <v>30</v>
      </c>
      <c r="L227" s="48" t="s">
        <v>23</v>
      </c>
      <c r="M227" s="48">
        <v>3.75</v>
      </c>
      <c r="N227" s="48">
        <v>2.8</v>
      </c>
    </row>
    <row r="228" spans="1:15" ht="16.350000000000001" customHeight="1" x14ac:dyDescent="0.25">
      <c r="A228" s="55">
        <v>38</v>
      </c>
      <c r="B228" s="55">
        <v>24</v>
      </c>
      <c r="C228" s="48">
        <v>227</v>
      </c>
      <c r="D228" s="48" t="s">
        <v>172</v>
      </c>
      <c r="E228" s="48" t="s">
        <v>712</v>
      </c>
      <c r="F228" s="48">
        <v>155</v>
      </c>
      <c r="G228" s="48" t="s">
        <v>762</v>
      </c>
      <c r="H228" s="48">
        <v>0</v>
      </c>
      <c r="I228" s="48">
        <v>1</v>
      </c>
      <c r="J228" s="48">
        <v>1</v>
      </c>
      <c r="K228" s="48">
        <v>3.75</v>
      </c>
      <c r="L228" s="48">
        <v>2.8</v>
      </c>
    </row>
    <row r="229" spans="1:15" ht="16.350000000000001" customHeight="1" x14ac:dyDescent="0.25">
      <c r="A229" s="55">
        <v>38</v>
      </c>
      <c r="B229" s="55">
        <v>25</v>
      </c>
      <c r="C229" s="48">
        <v>228</v>
      </c>
      <c r="D229" s="48" t="s">
        <v>1</v>
      </c>
      <c r="E229" s="48" t="s">
        <v>18</v>
      </c>
      <c r="F229" s="48" t="s">
        <v>100</v>
      </c>
      <c r="G229" s="48" t="s">
        <v>100</v>
      </c>
      <c r="H229" s="48" t="s">
        <v>100</v>
      </c>
      <c r="I229" s="48">
        <v>275</v>
      </c>
      <c r="J229" s="48">
        <v>135</v>
      </c>
      <c r="K229" s="48">
        <v>30</v>
      </c>
      <c r="L229" s="48" t="s">
        <v>19</v>
      </c>
      <c r="M229" s="48">
        <v>3.75</v>
      </c>
      <c r="N229" s="48">
        <v>2.8</v>
      </c>
    </row>
    <row r="230" spans="1:15" ht="16.350000000000001" customHeight="1" x14ac:dyDescent="0.25">
      <c r="A230" s="55">
        <v>38</v>
      </c>
      <c r="B230" s="55">
        <v>26</v>
      </c>
      <c r="C230" s="48">
        <v>229</v>
      </c>
      <c r="D230" s="48" t="s">
        <v>1</v>
      </c>
      <c r="E230" s="48" t="s">
        <v>18</v>
      </c>
      <c r="F230" s="48" t="s">
        <v>100</v>
      </c>
      <c r="G230" s="48" t="s">
        <v>100</v>
      </c>
      <c r="H230" s="48" t="s">
        <v>100</v>
      </c>
      <c r="I230" s="48" t="s">
        <v>744</v>
      </c>
      <c r="J230" s="48" t="s">
        <v>100</v>
      </c>
      <c r="K230" s="48" t="s">
        <v>100</v>
      </c>
      <c r="L230" s="48" t="s">
        <v>19</v>
      </c>
      <c r="M230" s="48">
        <v>3.75</v>
      </c>
      <c r="N230" s="48">
        <v>2.8</v>
      </c>
    </row>
    <row r="231" spans="1:15" ht="16.350000000000001" customHeight="1" x14ac:dyDescent="0.25">
      <c r="A231" s="55">
        <v>38</v>
      </c>
      <c r="B231" s="55">
        <v>27</v>
      </c>
      <c r="C231" s="48">
        <v>230</v>
      </c>
      <c r="D231" s="48" t="s">
        <v>1</v>
      </c>
      <c r="E231" s="48" t="s">
        <v>18</v>
      </c>
      <c r="F231" s="48" t="s">
        <v>100</v>
      </c>
      <c r="G231" s="48" t="s">
        <v>100</v>
      </c>
      <c r="H231" s="48" t="s">
        <v>100</v>
      </c>
      <c r="I231" s="48" t="s">
        <v>100</v>
      </c>
      <c r="J231" s="48" t="s">
        <v>745</v>
      </c>
      <c r="K231" s="48" t="s">
        <v>100</v>
      </c>
      <c r="L231" s="48" t="s">
        <v>19</v>
      </c>
      <c r="M231" s="48">
        <v>3.75</v>
      </c>
      <c r="N231" s="48">
        <v>2.8</v>
      </c>
    </row>
    <row r="232" spans="1:15" ht="16.350000000000001" customHeight="1" x14ac:dyDescent="0.25">
      <c r="A232" s="55">
        <v>38</v>
      </c>
      <c r="B232" s="55">
        <v>28</v>
      </c>
      <c r="C232" s="48">
        <v>231</v>
      </c>
      <c r="D232" s="48" t="s">
        <v>1</v>
      </c>
      <c r="E232" s="48" t="s">
        <v>18</v>
      </c>
      <c r="F232" s="48" t="s">
        <v>100</v>
      </c>
      <c r="G232" s="48" t="s">
        <v>100</v>
      </c>
      <c r="H232" s="48" t="s">
        <v>100</v>
      </c>
      <c r="I232" s="48" t="s">
        <v>697</v>
      </c>
      <c r="J232" s="48" t="s">
        <v>100</v>
      </c>
      <c r="K232" s="48" t="s">
        <v>100</v>
      </c>
      <c r="L232" s="48" t="s">
        <v>19</v>
      </c>
      <c r="M232" s="48">
        <v>3.75</v>
      </c>
      <c r="N232" s="48">
        <v>2.8</v>
      </c>
    </row>
    <row r="233" spans="1:15" ht="16.350000000000001" customHeight="1" x14ac:dyDescent="0.25">
      <c r="A233" s="55">
        <v>38</v>
      </c>
      <c r="B233" s="55">
        <v>29</v>
      </c>
      <c r="C233" s="48">
        <v>232</v>
      </c>
      <c r="D233" s="48" t="s">
        <v>1</v>
      </c>
      <c r="E233" s="48" t="s">
        <v>18</v>
      </c>
      <c r="F233" s="48" t="s">
        <v>100</v>
      </c>
      <c r="G233" s="48" t="s">
        <v>100</v>
      </c>
      <c r="H233" s="48" t="s">
        <v>100</v>
      </c>
      <c r="I233" s="48" t="s">
        <v>100</v>
      </c>
      <c r="J233" s="48" t="s">
        <v>746</v>
      </c>
      <c r="K233" s="48" t="s">
        <v>100</v>
      </c>
      <c r="L233" s="48" t="s">
        <v>19</v>
      </c>
      <c r="M233" s="48">
        <v>3.75</v>
      </c>
      <c r="N233" s="48">
        <v>2.8</v>
      </c>
    </row>
    <row r="234" spans="1:15" ht="16.350000000000001" customHeight="1" x14ac:dyDescent="0.25">
      <c r="A234" s="55">
        <v>38</v>
      </c>
      <c r="B234" s="55">
        <v>30</v>
      </c>
      <c r="C234" s="48">
        <v>233</v>
      </c>
      <c r="D234" s="48" t="s">
        <v>55</v>
      </c>
      <c r="E234" s="48" t="s">
        <v>789</v>
      </c>
      <c r="F234" s="48">
        <v>0</v>
      </c>
      <c r="G234" s="48">
        <v>-16.399999999999999</v>
      </c>
      <c r="H234" s="48">
        <v>0</v>
      </c>
      <c r="I234" s="48">
        <v>1</v>
      </c>
    </row>
    <row r="235" spans="1:15" ht="16.350000000000001" customHeight="1" x14ac:dyDescent="0.25">
      <c r="A235" s="55">
        <v>38</v>
      </c>
      <c r="B235" s="55">
        <v>31</v>
      </c>
      <c r="C235" s="48">
        <v>234</v>
      </c>
      <c r="D235" s="48" t="s">
        <v>39</v>
      </c>
      <c r="E235" s="48">
        <v>0</v>
      </c>
      <c r="F235" s="48">
        <v>0</v>
      </c>
      <c r="G235" s="48">
        <v>2</v>
      </c>
      <c r="H235" s="48">
        <v>5000</v>
      </c>
    </row>
    <row r="236" spans="1:15" ht="16.350000000000001" customHeight="1" x14ac:dyDescent="0.25">
      <c r="A236" s="55">
        <v>38</v>
      </c>
      <c r="B236" s="55">
        <v>32</v>
      </c>
      <c r="C236" s="48">
        <v>235</v>
      </c>
      <c r="D236" s="48" t="s">
        <v>1</v>
      </c>
      <c r="E236" s="48" t="s">
        <v>18</v>
      </c>
      <c r="F236" s="48" t="s">
        <v>100</v>
      </c>
      <c r="G236" s="48" t="s">
        <v>100</v>
      </c>
      <c r="H236" s="48" t="s">
        <v>100</v>
      </c>
      <c r="I236" s="48" t="s">
        <v>100</v>
      </c>
      <c r="J236" s="48" t="s">
        <v>759</v>
      </c>
      <c r="K236" s="48" t="s">
        <v>100</v>
      </c>
      <c r="L236" s="48" t="s">
        <v>19</v>
      </c>
      <c r="M236" s="48">
        <v>3.75</v>
      </c>
      <c r="N236" s="48">
        <v>2.8</v>
      </c>
      <c r="O236" s="56"/>
    </row>
    <row r="237" spans="1:15" ht="16.350000000000001" customHeight="1" x14ac:dyDescent="0.25">
      <c r="A237" s="55">
        <v>38</v>
      </c>
      <c r="B237" s="55">
        <v>33</v>
      </c>
      <c r="C237" s="48">
        <v>236</v>
      </c>
      <c r="D237" s="48" t="s">
        <v>1</v>
      </c>
      <c r="E237" s="48" t="s">
        <v>18</v>
      </c>
      <c r="F237" s="48" t="s">
        <v>100</v>
      </c>
      <c r="G237" s="48" t="s">
        <v>100</v>
      </c>
      <c r="H237" s="48" t="s">
        <v>100</v>
      </c>
      <c r="I237" s="48" t="s">
        <v>744</v>
      </c>
      <c r="J237" s="48" t="s">
        <v>100</v>
      </c>
      <c r="K237" s="48" t="s">
        <v>100</v>
      </c>
      <c r="L237" s="48" t="s">
        <v>19</v>
      </c>
      <c r="M237" s="48">
        <v>3.75</v>
      </c>
      <c r="N237" s="48">
        <v>2.8</v>
      </c>
    </row>
    <row r="238" spans="1:15" ht="16.350000000000001" customHeight="1" x14ac:dyDescent="0.25">
      <c r="A238" s="55">
        <v>38</v>
      </c>
      <c r="B238" s="55">
        <v>34</v>
      </c>
      <c r="C238" s="48">
        <v>237</v>
      </c>
      <c r="D238" s="48" t="s">
        <v>1</v>
      </c>
      <c r="E238" s="48" t="s">
        <v>18</v>
      </c>
      <c r="F238" s="48" t="s">
        <v>100</v>
      </c>
      <c r="G238" s="48" t="s">
        <v>100</v>
      </c>
      <c r="H238" s="48" t="s">
        <v>100</v>
      </c>
      <c r="I238" s="48" t="s">
        <v>100</v>
      </c>
      <c r="J238" s="48" t="s">
        <v>364</v>
      </c>
      <c r="K238" s="48" t="s">
        <v>100</v>
      </c>
      <c r="L238" s="48" t="s">
        <v>19</v>
      </c>
      <c r="M238" s="48">
        <v>3.75</v>
      </c>
      <c r="N238" s="48">
        <v>2.8</v>
      </c>
    </row>
    <row r="239" spans="1:15" ht="16.350000000000001" customHeight="1" x14ac:dyDescent="0.25">
      <c r="A239" s="55">
        <v>38</v>
      </c>
      <c r="B239" s="55">
        <v>35</v>
      </c>
      <c r="C239" s="48">
        <v>238</v>
      </c>
      <c r="D239" s="48" t="s">
        <v>1</v>
      </c>
      <c r="E239" s="48" t="s">
        <v>18</v>
      </c>
      <c r="F239" s="48" t="s">
        <v>100</v>
      </c>
      <c r="G239" s="48" t="s">
        <v>100</v>
      </c>
      <c r="H239" s="48" t="s">
        <v>100</v>
      </c>
      <c r="I239" s="48" t="s">
        <v>697</v>
      </c>
      <c r="J239" s="48" t="s">
        <v>100</v>
      </c>
      <c r="K239" s="48" t="s">
        <v>100</v>
      </c>
      <c r="L239" s="48" t="s">
        <v>19</v>
      </c>
      <c r="M239" s="48">
        <v>3.75</v>
      </c>
      <c r="N239" s="48">
        <v>2.8</v>
      </c>
    </row>
    <row r="240" spans="1:15" ht="16.350000000000001" customHeight="1" x14ac:dyDescent="0.25">
      <c r="A240" s="55">
        <v>38</v>
      </c>
      <c r="B240" s="55">
        <v>36</v>
      </c>
      <c r="C240" s="48">
        <v>239</v>
      </c>
      <c r="D240" s="48" t="s">
        <v>55</v>
      </c>
      <c r="E240" s="48" t="s">
        <v>790</v>
      </c>
      <c r="F240" s="48">
        <v>0</v>
      </c>
      <c r="G240" s="48">
        <v>16.399999999999999</v>
      </c>
      <c r="H240" s="48">
        <v>0</v>
      </c>
      <c r="I240" s="48">
        <v>1</v>
      </c>
    </row>
    <row r="241" spans="1:15" ht="16.350000000000001" customHeight="1" x14ac:dyDescent="0.25">
      <c r="A241" s="55">
        <v>38</v>
      </c>
      <c r="B241" s="55">
        <v>37</v>
      </c>
      <c r="C241" s="48">
        <v>240</v>
      </c>
      <c r="D241" s="48" t="s">
        <v>39</v>
      </c>
      <c r="E241" s="48">
        <v>0</v>
      </c>
      <c r="F241" s="48">
        <v>0</v>
      </c>
      <c r="G241" s="48">
        <v>4</v>
      </c>
      <c r="H241" s="48">
        <v>5000</v>
      </c>
    </row>
    <row r="247" spans="1:15" ht="16.350000000000001" customHeight="1" x14ac:dyDescent="0.25">
      <c r="O247" s="56"/>
    </row>
    <row r="258" spans="15:15" ht="16.350000000000001" customHeight="1" x14ac:dyDescent="0.25">
      <c r="O258" s="56"/>
    </row>
    <row r="269" spans="15:15" ht="16.350000000000001" customHeight="1" x14ac:dyDescent="0.25">
      <c r="O269" s="56"/>
    </row>
    <row r="280" spans="15:15" ht="16.350000000000001" customHeight="1" x14ac:dyDescent="0.25">
      <c r="O280" s="56"/>
    </row>
    <row r="291" spans="15:15" ht="16.350000000000001" customHeight="1" x14ac:dyDescent="0.25">
      <c r="O291" s="56"/>
    </row>
    <row r="302" spans="15:15" ht="16.350000000000001" customHeight="1" x14ac:dyDescent="0.25">
      <c r="O302" s="56"/>
    </row>
    <row r="313" spans="15:15" ht="16.350000000000001" customHeight="1" x14ac:dyDescent="0.25">
      <c r="O313" s="56"/>
    </row>
    <row r="324" spans="15:15" ht="16.350000000000001" customHeight="1" x14ac:dyDescent="0.25">
      <c r="O324" s="56"/>
    </row>
    <row r="335" spans="15:15" ht="16.350000000000001" customHeight="1" x14ac:dyDescent="0.25">
      <c r="O335" s="56"/>
    </row>
    <row r="346" spans="15:15" ht="16.350000000000001" customHeight="1" x14ac:dyDescent="0.25">
      <c r="O346" s="56"/>
    </row>
    <row r="357" spans="15:15" ht="16.350000000000001" customHeight="1" x14ac:dyDescent="0.25">
      <c r="O357" s="56"/>
    </row>
    <row r="368" spans="15:15" ht="16.350000000000001" customHeight="1" x14ac:dyDescent="0.25">
      <c r="O368" s="56"/>
    </row>
    <row r="379" spans="15:15" ht="16.350000000000001" customHeight="1" x14ac:dyDescent="0.25">
      <c r="O379" s="56"/>
    </row>
    <row r="390" spans="15:15" ht="16.350000000000001" customHeight="1" x14ac:dyDescent="0.25">
      <c r="O390" s="56"/>
    </row>
    <row r="401" spans="15:15" ht="16.350000000000001" customHeight="1" x14ac:dyDescent="0.25">
      <c r="O401" s="56"/>
    </row>
    <row r="412" spans="15:15" ht="16.350000000000001" customHeight="1" x14ac:dyDescent="0.25">
      <c r="O412" s="56"/>
    </row>
    <row r="423" spans="15:15" ht="16.350000000000001" customHeight="1" x14ac:dyDescent="0.25">
      <c r="O423" s="56"/>
    </row>
    <row r="434" spans="15:15" ht="16.350000000000001" customHeight="1" x14ac:dyDescent="0.25">
      <c r="O434" s="56"/>
    </row>
    <row r="445" spans="15:15" ht="16.350000000000001" customHeight="1" x14ac:dyDescent="0.25">
      <c r="O445" s="56"/>
    </row>
    <row r="456" spans="15:15" ht="16.350000000000001" customHeight="1" x14ac:dyDescent="0.25">
      <c r="O456" s="56"/>
    </row>
    <row r="467" spans="15:15" ht="16.350000000000001" customHeight="1" x14ac:dyDescent="0.25">
      <c r="O467" s="56"/>
    </row>
    <row r="478" spans="15:15" ht="16.350000000000001" customHeight="1" x14ac:dyDescent="0.25">
      <c r="O478" s="56"/>
    </row>
    <row r="489" spans="15:15" ht="16.350000000000001" customHeight="1" x14ac:dyDescent="0.25">
      <c r="O489" s="56"/>
    </row>
    <row r="500" spans="15:15" ht="16.350000000000001" customHeight="1" x14ac:dyDescent="0.25">
      <c r="O500" s="56"/>
    </row>
    <row r="511" spans="15:15" ht="16.350000000000001" customHeight="1" x14ac:dyDescent="0.25">
      <c r="O511" s="56"/>
    </row>
    <row r="522" spans="15:15" ht="16.350000000000001" customHeight="1" x14ac:dyDescent="0.25">
      <c r="O522" s="56"/>
    </row>
    <row r="533" spans="15:15" ht="16.350000000000001" customHeight="1" x14ac:dyDescent="0.25">
      <c r="O533" s="56"/>
    </row>
    <row r="544" spans="15:15" ht="16.350000000000001" customHeight="1" x14ac:dyDescent="0.25">
      <c r="O544" s="56"/>
    </row>
    <row r="555" spans="15:15" ht="16.350000000000001" customHeight="1" x14ac:dyDescent="0.25">
      <c r="O555" s="56"/>
    </row>
    <row r="566" spans="15:15" ht="16.350000000000001" customHeight="1" x14ac:dyDescent="0.25">
      <c r="O566" s="56"/>
    </row>
    <row r="577" spans="15:15" ht="16.350000000000001" customHeight="1" x14ac:dyDescent="0.25">
      <c r="O577" s="56"/>
    </row>
    <row r="588" spans="15:15" ht="16.350000000000001" customHeight="1" x14ac:dyDescent="0.25">
      <c r="O588" s="56"/>
    </row>
    <row r="599" spans="15:15" ht="16.350000000000001" customHeight="1" x14ac:dyDescent="0.25">
      <c r="O599" s="56"/>
    </row>
    <row r="610" spans="15:15" ht="16.350000000000001" customHeight="1" x14ac:dyDescent="0.25">
      <c r="O610" s="56"/>
    </row>
    <row r="621" spans="15:15" ht="16.350000000000001" customHeight="1" x14ac:dyDescent="0.25">
      <c r="O621" s="56"/>
    </row>
    <row r="632" spans="15:15" ht="16.350000000000001" customHeight="1" x14ac:dyDescent="0.25">
      <c r="O632" s="56"/>
    </row>
    <row r="643" spans="15:15" ht="16.350000000000001" customHeight="1" x14ac:dyDescent="0.25">
      <c r="O643" s="56"/>
    </row>
    <row r="654" spans="15:15" ht="16.350000000000001" customHeight="1" x14ac:dyDescent="0.25">
      <c r="O654" s="56"/>
    </row>
    <row r="665" spans="15:15" ht="16.350000000000001" customHeight="1" x14ac:dyDescent="0.25">
      <c r="O665" s="56"/>
    </row>
    <row r="676" spans="15:15" ht="16.350000000000001" customHeight="1" x14ac:dyDescent="0.25">
      <c r="O676" s="56"/>
    </row>
    <row r="687" spans="15:15" ht="16.350000000000001" customHeight="1" x14ac:dyDescent="0.25">
      <c r="O687" s="56"/>
    </row>
    <row r="698" spans="15:15" ht="16.350000000000001" customHeight="1" x14ac:dyDescent="0.25">
      <c r="O698" s="56"/>
    </row>
    <row r="709" spans="15:15" ht="16.350000000000001" customHeight="1" x14ac:dyDescent="0.25">
      <c r="O709" s="56"/>
    </row>
    <row r="720" spans="15:15" ht="16.350000000000001" customHeight="1" x14ac:dyDescent="0.25">
      <c r="O720" s="56"/>
    </row>
    <row r="731" spans="15:15" ht="16.350000000000001" customHeight="1" x14ac:dyDescent="0.25">
      <c r="O731" s="56"/>
    </row>
    <row r="742" spans="15:15" ht="16.350000000000001" customHeight="1" x14ac:dyDescent="0.25">
      <c r="O742" s="56"/>
    </row>
    <row r="753" spans="15:15" ht="16.350000000000001" customHeight="1" x14ac:dyDescent="0.25">
      <c r="O753" s="56"/>
    </row>
    <row r="764" spans="15:15" ht="16.350000000000001" customHeight="1" x14ac:dyDescent="0.25">
      <c r="O764" s="56"/>
    </row>
    <row r="775" spans="15:15" ht="16.350000000000001" customHeight="1" x14ac:dyDescent="0.25">
      <c r="O775" s="56"/>
    </row>
    <row r="786" spans="15:15" ht="16.350000000000001" customHeight="1" x14ac:dyDescent="0.25">
      <c r="O786" s="56"/>
    </row>
    <row r="797" spans="15:15" ht="16.350000000000001" customHeight="1" x14ac:dyDescent="0.25">
      <c r="O797" s="56"/>
    </row>
    <row r="808" spans="15:15" ht="16.350000000000001" customHeight="1" x14ac:dyDescent="0.25">
      <c r="O808" s="56"/>
    </row>
    <row r="819" spans="15:15" ht="16.350000000000001" customHeight="1" x14ac:dyDescent="0.25">
      <c r="O819" s="56"/>
    </row>
    <row r="830" spans="15:15" ht="16.350000000000001" customHeight="1" x14ac:dyDescent="0.25">
      <c r="O830" s="56"/>
    </row>
    <row r="841" spans="15:15" ht="16.350000000000001" customHeight="1" x14ac:dyDescent="0.25">
      <c r="O841" s="56"/>
    </row>
    <row r="852" spans="15:15" ht="16.350000000000001" customHeight="1" x14ac:dyDescent="0.25">
      <c r="O852" s="56"/>
    </row>
    <row r="863" spans="15:15" ht="16.350000000000001" customHeight="1" x14ac:dyDescent="0.25">
      <c r="O863" s="5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33" t="s">
        <v>129</v>
      </c>
      <c r="B3" s="2" t="s">
        <v>646</v>
      </c>
      <c r="C3" s="33" t="s">
        <v>128</v>
      </c>
      <c r="D3" s="2" t="s">
        <v>645</v>
      </c>
      <c r="G3" s="33" t="s">
        <v>129</v>
      </c>
      <c r="H3" s="2" t="s">
        <v>615</v>
      </c>
      <c r="I3" s="33" t="s">
        <v>128</v>
      </c>
      <c r="J3" s="2" t="s">
        <v>617</v>
      </c>
      <c r="U3" s="69"/>
      <c r="AO3" t="s">
        <v>130</v>
      </c>
      <c r="AP3" t="s">
        <v>647</v>
      </c>
      <c r="AQ3" t="s">
        <v>129</v>
      </c>
      <c r="AR3" t="s">
        <v>646</v>
      </c>
      <c r="AS3" t="s">
        <v>128</v>
      </c>
      <c r="AT3" t="s">
        <v>645</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t="s">
        <v>44</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632</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8000</v>
      </c>
      <c r="U31" s="5" t="s">
        <v>45</v>
      </c>
    </row>
    <row r="32" spans="1:34" x14ac:dyDescent="0.25">
      <c r="U32" s="69"/>
    </row>
    <row r="33" spans="1:46" x14ac:dyDescent="0.25">
      <c r="S33" s="75" t="s">
        <v>292</v>
      </c>
      <c r="T33" s="75" t="s">
        <v>293</v>
      </c>
      <c r="U33" s="76" t="s">
        <v>331</v>
      </c>
    </row>
    <row r="34" spans="1:46" x14ac:dyDescent="0.25">
      <c r="S34" s="59" t="s">
        <v>644</v>
      </c>
      <c r="T34" s="59" t="s">
        <v>467</v>
      </c>
      <c r="U34" s="71" t="s">
        <v>109</v>
      </c>
    </row>
    <row r="35" spans="1:46" x14ac:dyDescent="0.25">
      <c r="S35" s="59"/>
      <c r="T35" s="59"/>
      <c r="U35" s="71" t="s">
        <v>109</v>
      </c>
    </row>
    <row r="37" spans="1:46" x14ac:dyDescent="0.25">
      <c r="A37" s="33" t="s">
        <v>129</v>
      </c>
      <c r="B37" s="2" t="s">
        <v>652</v>
      </c>
      <c r="C37" s="33" t="s">
        <v>128</v>
      </c>
      <c r="D37" s="2" t="s">
        <v>645</v>
      </c>
      <c r="G37" s="33" t="s">
        <v>129</v>
      </c>
      <c r="H37" s="2" t="s">
        <v>375</v>
      </c>
      <c r="I37" s="33" t="s">
        <v>128</v>
      </c>
      <c r="J37" s="2" t="s">
        <v>617</v>
      </c>
      <c r="U37" s="69"/>
      <c r="AO37" t="s">
        <v>130</v>
      </c>
      <c r="AP37" t="s">
        <v>653</v>
      </c>
      <c r="AQ37" t="s">
        <v>129</v>
      </c>
      <c r="AR37" t="s">
        <v>652</v>
      </c>
      <c r="AS37" t="s">
        <v>128</v>
      </c>
      <c r="AT37" t="s">
        <v>645</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74"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77"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46"/>
      <c r="T45" s="46"/>
      <c r="U45" s="7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654</v>
      </c>
      <c r="C71" s="33" t="s">
        <v>128</v>
      </c>
      <c r="D71" s="2" t="s">
        <v>645</v>
      </c>
      <c r="G71" s="33" t="s">
        <v>129</v>
      </c>
      <c r="H71" s="2" t="s">
        <v>648</v>
      </c>
      <c r="I71" s="33" t="s">
        <v>128</v>
      </c>
      <c r="J71" s="2" t="s">
        <v>617</v>
      </c>
      <c r="U71" s="69"/>
      <c r="AO71" t="s">
        <v>130</v>
      </c>
      <c r="AP71" t="s">
        <v>655</v>
      </c>
      <c r="AQ71" t="s">
        <v>129</v>
      </c>
      <c r="AR71" t="s">
        <v>654</v>
      </c>
      <c r="AS71" t="s">
        <v>128</v>
      </c>
      <c r="AT71" t="s">
        <v>645</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614</v>
      </c>
      <c r="C73" s="2"/>
      <c r="D73" s="2"/>
      <c r="E73" s="2"/>
      <c r="F73" s="2"/>
      <c r="G73" s="2"/>
      <c r="H73" s="2"/>
      <c r="I73" s="2"/>
      <c r="J73" s="2"/>
      <c r="K73" s="2"/>
      <c r="L73" s="2"/>
      <c r="M73" s="2"/>
      <c r="N73" s="2"/>
      <c r="O73" s="2"/>
      <c r="P73" s="2"/>
      <c r="Q73" s="2"/>
      <c r="S73" s="74"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00" t="s">
        <v>466</v>
      </c>
      <c r="AC77" s="101"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95">
        <v>65</v>
      </c>
      <c r="U80" s="5" t="s">
        <v>43</v>
      </c>
      <c r="V80" s="95">
        <v>60</v>
      </c>
      <c r="W80" s="96">
        <v>60</v>
      </c>
      <c r="X80" s="107">
        <v>60</v>
      </c>
      <c r="Y80" s="97">
        <v>60</v>
      </c>
      <c r="Z80" s="99">
        <v>60</v>
      </c>
      <c r="AA80" s="100">
        <v>60</v>
      </c>
      <c r="AB80" s="100">
        <v>60</v>
      </c>
      <c r="AC80" s="104">
        <v>60</v>
      </c>
      <c r="AD80" s="105">
        <v>60</v>
      </c>
      <c r="AE80" s="106">
        <v>60</v>
      </c>
      <c r="AF80" s="108">
        <v>60</v>
      </c>
      <c r="AG80" s="102">
        <v>60</v>
      </c>
      <c r="AH80" s="10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95">
        <v>220</v>
      </c>
      <c r="U83" s="5" t="s">
        <v>43</v>
      </c>
      <c r="V83" s="95">
        <v>210</v>
      </c>
      <c r="W83" s="96">
        <v>210</v>
      </c>
      <c r="X83" s="107">
        <v>210</v>
      </c>
      <c r="Y83" s="97">
        <v>215</v>
      </c>
      <c r="Z83" s="99">
        <v>220</v>
      </c>
      <c r="AA83" s="100">
        <v>210</v>
      </c>
      <c r="AB83" s="100">
        <v>210</v>
      </c>
      <c r="AC83" s="104">
        <v>210</v>
      </c>
      <c r="AD83" s="105">
        <v>210</v>
      </c>
      <c r="AE83" s="106">
        <v>210</v>
      </c>
      <c r="AF83" s="108">
        <v>210</v>
      </c>
      <c r="AG83" s="102">
        <v>210</v>
      </c>
      <c r="AH83" s="109">
        <v>210</v>
      </c>
    </row>
    <row r="84" spans="1:34" x14ac:dyDescent="0.25">
      <c r="A84" s="2">
        <v>12</v>
      </c>
      <c r="B84" s="2"/>
      <c r="C84" s="2"/>
      <c r="D84" s="2"/>
      <c r="E84" s="2"/>
      <c r="F84" s="2"/>
      <c r="G84" s="2"/>
      <c r="H84" s="2"/>
      <c r="I84" s="2"/>
      <c r="J84" s="2"/>
      <c r="K84" s="2"/>
      <c r="L84" s="2"/>
      <c r="M84" s="2"/>
      <c r="N84" s="2"/>
      <c r="O84" s="2"/>
      <c r="P84" s="2"/>
      <c r="Q84" s="2"/>
      <c r="S84" s="5" t="s">
        <v>42</v>
      </c>
      <c r="T84" s="95">
        <v>1.75</v>
      </c>
      <c r="U84" s="5" t="s">
        <v>44</v>
      </c>
      <c r="V84" s="95">
        <v>2.85</v>
      </c>
      <c r="W84" s="96">
        <v>1.75</v>
      </c>
      <c r="X84" s="107">
        <v>1.75</v>
      </c>
      <c r="Y84" s="98">
        <v>1.75</v>
      </c>
      <c r="Z84" s="99">
        <v>1.75</v>
      </c>
      <c r="AA84" s="100">
        <v>1.75</v>
      </c>
      <c r="AB84" s="100">
        <v>1.75</v>
      </c>
      <c r="AC84" s="104">
        <v>1.75</v>
      </c>
      <c r="AD84" s="105">
        <v>1.75</v>
      </c>
      <c r="AE84" s="106">
        <v>1.75</v>
      </c>
      <c r="AF84" s="108">
        <v>1.75</v>
      </c>
      <c r="AG84" s="102">
        <v>2.85</v>
      </c>
      <c r="AH84" s="109">
        <v>1.75</v>
      </c>
    </row>
    <row r="85" spans="1:34" x14ac:dyDescent="0.25">
      <c r="A85" s="2">
        <v>13</v>
      </c>
      <c r="B85" s="2"/>
      <c r="C85" s="2"/>
      <c r="D85" s="2"/>
      <c r="E85" s="2"/>
      <c r="F85" s="2"/>
      <c r="G85" s="2"/>
      <c r="H85" s="2"/>
      <c r="I85" s="2"/>
      <c r="J85" s="2"/>
      <c r="K85" s="2"/>
      <c r="L85" s="2"/>
      <c r="M85" s="2"/>
      <c r="N85" s="2"/>
      <c r="O85" s="2"/>
      <c r="P85" s="2"/>
      <c r="Q85" s="2"/>
      <c r="S85" s="5" t="s">
        <v>46</v>
      </c>
      <c r="T85" s="95">
        <v>33</v>
      </c>
      <c r="U85" s="5" t="s">
        <v>90</v>
      </c>
      <c r="V85" s="95" t="s">
        <v>82</v>
      </c>
      <c r="W85" s="96" t="s">
        <v>44</v>
      </c>
      <c r="X85" s="107" t="s">
        <v>44</v>
      </c>
      <c r="Y85" s="98" t="s">
        <v>44</v>
      </c>
      <c r="Z85" s="99" t="s">
        <v>44</v>
      </c>
      <c r="AA85" s="100" t="s">
        <v>44</v>
      </c>
      <c r="AB85" s="100" t="s">
        <v>44</v>
      </c>
      <c r="AC85" s="104" t="s">
        <v>44</v>
      </c>
      <c r="AD85" s="105" t="s">
        <v>44</v>
      </c>
      <c r="AE85" s="106" t="s">
        <v>44</v>
      </c>
      <c r="AF85" s="108" t="s">
        <v>44</v>
      </c>
      <c r="AG85" s="102" t="s">
        <v>82</v>
      </c>
      <c r="AH85" s="109" t="s">
        <v>44</v>
      </c>
    </row>
    <row r="86" spans="1:34" x14ac:dyDescent="0.25">
      <c r="A86" s="2">
        <v>14</v>
      </c>
      <c r="B86" s="2"/>
      <c r="C86" s="2"/>
      <c r="D86" s="2"/>
      <c r="E86" s="2"/>
      <c r="F86" s="2"/>
      <c r="G86" s="2"/>
      <c r="H86" s="2"/>
      <c r="I86" s="2"/>
      <c r="J86" s="2"/>
      <c r="K86" s="2"/>
      <c r="L86" s="2"/>
      <c r="M86" s="2"/>
      <c r="N86" s="2"/>
      <c r="O86" s="2"/>
      <c r="P86" s="2"/>
      <c r="Q86" s="2"/>
      <c r="S86" s="5" t="s">
        <v>108</v>
      </c>
      <c r="T86" s="95" t="s">
        <v>635</v>
      </c>
      <c r="U86" s="5"/>
      <c r="V86" s="95" t="s">
        <v>153</v>
      </c>
      <c r="W86" s="96" t="s">
        <v>394</v>
      </c>
      <c r="X86" s="107" t="s">
        <v>393</v>
      </c>
      <c r="Y86" s="23" t="s">
        <v>455</v>
      </c>
      <c r="Z86" s="99" t="s">
        <v>425</v>
      </c>
      <c r="AA86" s="100" t="s">
        <v>465</v>
      </c>
      <c r="AB86" s="100" t="s">
        <v>466</v>
      </c>
      <c r="AC86" s="104" t="s">
        <v>489</v>
      </c>
      <c r="AD86" s="105" t="s">
        <v>504</v>
      </c>
      <c r="AE86" s="106" t="s">
        <v>554</v>
      </c>
      <c r="AF86" s="108" t="s">
        <v>558</v>
      </c>
      <c r="AG86" s="102" t="s">
        <v>591</v>
      </c>
      <c r="AH86" s="109" t="s">
        <v>592</v>
      </c>
    </row>
    <row r="87" spans="1:34" x14ac:dyDescent="0.25">
      <c r="A87" s="2">
        <v>15</v>
      </c>
      <c r="B87" s="2"/>
      <c r="C87" s="2"/>
      <c r="D87" s="2"/>
      <c r="E87" s="2"/>
      <c r="F87" s="2"/>
      <c r="G87" s="2"/>
      <c r="H87" s="2"/>
      <c r="I87" s="2"/>
      <c r="J87" s="2"/>
      <c r="K87" s="2"/>
      <c r="L87" s="2"/>
      <c r="M87" s="2"/>
      <c r="N87" s="2"/>
      <c r="O87" s="2"/>
      <c r="P87" s="2"/>
      <c r="Q87" s="2"/>
      <c r="S87" s="5" t="s">
        <v>152</v>
      </c>
      <c r="T87" s="95" t="s">
        <v>635</v>
      </c>
      <c r="U87" s="5"/>
      <c r="V87" s="95" t="s">
        <v>125</v>
      </c>
      <c r="W87" s="96" t="s">
        <v>394</v>
      </c>
      <c r="X87" s="107" t="s">
        <v>393</v>
      </c>
      <c r="Y87" s="23" t="s">
        <v>455</v>
      </c>
      <c r="Z87" s="99" t="s">
        <v>425</v>
      </c>
      <c r="AA87" s="100" t="s">
        <v>465</v>
      </c>
      <c r="AB87" s="100" t="s">
        <v>466</v>
      </c>
      <c r="AC87" s="104" t="s">
        <v>489</v>
      </c>
      <c r="AD87" s="105" t="s">
        <v>504</v>
      </c>
      <c r="AE87" s="106" t="s">
        <v>554</v>
      </c>
      <c r="AF87" s="108" t="s">
        <v>558</v>
      </c>
      <c r="AG87" s="102" t="s">
        <v>591</v>
      </c>
      <c r="AH87" s="109" t="s">
        <v>592</v>
      </c>
    </row>
    <row r="88" spans="1:34" x14ac:dyDescent="0.25">
      <c r="S88" s="5" t="s">
        <v>167</v>
      </c>
      <c r="T88" s="5">
        <v>20</v>
      </c>
      <c r="U88" s="5" t="s">
        <v>44</v>
      </c>
    </row>
    <row r="89" spans="1:34" x14ac:dyDescent="0.25">
      <c r="S89" s="5" t="s">
        <v>168</v>
      </c>
      <c r="T89" s="5">
        <v>10</v>
      </c>
      <c r="U89" s="5" t="s">
        <v>44</v>
      </c>
    </row>
    <row r="90" spans="1:34" x14ac:dyDescent="0.25">
      <c r="S90" s="5" t="s">
        <v>169</v>
      </c>
      <c r="T90" s="5">
        <v>0.3</v>
      </c>
      <c r="U90" s="5" t="s">
        <v>44</v>
      </c>
    </row>
    <row r="91" spans="1:34" x14ac:dyDescent="0.25">
      <c r="S91" s="62" t="s">
        <v>339</v>
      </c>
      <c r="T91" s="5">
        <v>185</v>
      </c>
      <c r="U91" s="5"/>
      <c r="V91" s="1"/>
    </row>
    <row r="92" spans="1:34" x14ac:dyDescent="0.25">
      <c r="S92" s="5" t="s">
        <v>154</v>
      </c>
      <c r="T92" s="5" t="s">
        <v>632</v>
      </c>
      <c r="U92" s="5" t="s">
        <v>158</v>
      </c>
    </row>
    <row r="93" spans="1:34" x14ac:dyDescent="0.25">
      <c r="S93" s="5" t="s">
        <v>159</v>
      </c>
      <c r="T93" s="5">
        <v>2</v>
      </c>
      <c r="U93" s="5" t="s">
        <v>44</v>
      </c>
      <c r="V93" s="1"/>
    </row>
    <row r="94" spans="1:34" x14ac:dyDescent="0.25">
      <c r="S94" s="5" t="s">
        <v>160</v>
      </c>
      <c r="T94" s="5">
        <v>1.25</v>
      </c>
      <c r="U94" s="5" t="s">
        <v>90</v>
      </c>
    </row>
    <row r="95" spans="1:34" x14ac:dyDescent="0.25">
      <c r="S95" s="5" t="s">
        <v>161</v>
      </c>
      <c r="T95" s="5">
        <v>2500</v>
      </c>
      <c r="U95" s="5" t="s">
        <v>45</v>
      </c>
    </row>
    <row r="96" spans="1:34" x14ac:dyDescent="0.25">
      <c r="S96" s="5" t="s">
        <v>162</v>
      </c>
      <c r="T96" s="5">
        <v>0</v>
      </c>
      <c r="U96" s="5" t="s">
        <v>90</v>
      </c>
    </row>
    <row r="97" spans="1:46" x14ac:dyDescent="0.25">
      <c r="S97" s="3" t="s">
        <v>163</v>
      </c>
      <c r="T97" s="3">
        <f>T95</f>
        <v>2500</v>
      </c>
      <c r="U97" s="5" t="s">
        <v>45</v>
      </c>
    </row>
    <row r="98" spans="1:46" x14ac:dyDescent="0.25">
      <c r="S98" s="3" t="s">
        <v>164</v>
      </c>
      <c r="T98" s="3">
        <v>0.65</v>
      </c>
      <c r="U98" s="5" t="s">
        <v>44</v>
      </c>
    </row>
    <row r="99" spans="1:46" x14ac:dyDescent="0.25">
      <c r="S99" s="3" t="s">
        <v>165</v>
      </c>
      <c r="T99" s="3">
        <v>10000</v>
      </c>
      <c r="U99" s="5" t="s">
        <v>45</v>
      </c>
    </row>
    <row r="100" spans="1:46" x14ac:dyDescent="0.25">
      <c r="U100" s="69"/>
    </row>
    <row r="101" spans="1:46" x14ac:dyDescent="0.25">
      <c r="S101" s="75" t="s">
        <v>292</v>
      </c>
      <c r="T101" s="75" t="s">
        <v>293</v>
      </c>
      <c r="U101" s="76" t="s">
        <v>331</v>
      </c>
    </row>
    <row r="102" spans="1:46" x14ac:dyDescent="0.25">
      <c r="S102" s="59" t="s">
        <v>644</v>
      </c>
      <c r="T102" s="59" t="s">
        <v>467</v>
      </c>
      <c r="U102" s="71" t="s">
        <v>109</v>
      </c>
    </row>
    <row r="103" spans="1:46" x14ac:dyDescent="0.25">
      <c r="S103" s="59"/>
      <c r="T103" s="59"/>
      <c r="U103" s="71" t="s">
        <v>109</v>
      </c>
    </row>
    <row r="105" spans="1:46" x14ac:dyDescent="0.25">
      <c r="A105" s="33" t="s">
        <v>129</v>
      </c>
      <c r="B105" s="2" t="s">
        <v>656</v>
      </c>
      <c r="C105" s="33" t="s">
        <v>128</v>
      </c>
      <c r="D105" s="2" t="s">
        <v>645</v>
      </c>
      <c r="G105" s="33" t="s">
        <v>129</v>
      </c>
      <c r="H105" s="2" t="s">
        <v>648</v>
      </c>
      <c r="I105" s="33" t="s">
        <v>128</v>
      </c>
      <c r="J105" s="2" t="s">
        <v>617</v>
      </c>
      <c r="U105" s="69"/>
      <c r="AO105" t="s">
        <v>130</v>
      </c>
      <c r="AP105" t="s">
        <v>657</v>
      </c>
      <c r="AQ105" t="s">
        <v>129</v>
      </c>
      <c r="AR105" t="s">
        <v>656</v>
      </c>
      <c r="AS105" t="s">
        <v>128</v>
      </c>
      <c r="AT105" t="s">
        <v>645</v>
      </c>
    </row>
    <row r="106" spans="1:46" x14ac:dyDescent="0.25">
      <c r="A106" s="32" t="s">
        <v>0</v>
      </c>
      <c r="B106" s="2"/>
      <c r="C106" s="2"/>
      <c r="D106" s="2"/>
      <c r="E106" s="2"/>
      <c r="F106" s="2"/>
      <c r="G106" s="2"/>
      <c r="H106" s="2"/>
      <c r="I106" s="2"/>
      <c r="J106" s="2"/>
      <c r="K106" s="2"/>
      <c r="L106" s="2"/>
      <c r="M106" s="2"/>
      <c r="N106" s="2"/>
      <c r="O106" s="2"/>
      <c r="P106" s="2"/>
      <c r="Q106" s="33" t="s">
        <v>289</v>
      </c>
      <c r="U106" s="69"/>
    </row>
    <row r="107" spans="1:46" x14ac:dyDescent="0.25">
      <c r="A107" s="2">
        <v>1</v>
      </c>
      <c r="B107" s="2" t="s">
        <v>614</v>
      </c>
      <c r="C107" s="2"/>
      <c r="D107" s="2"/>
      <c r="E107" s="2"/>
      <c r="F107" s="2"/>
      <c r="G107" s="2"/>
      <c r="H107" s="2"/>
      <c r="I107" s="2"/>
      <c r="J107" s="2"/>
      <c r="K107" s="2"/>
      <c r="L107" s="2"/>
      <c r="M107" s="2"/>
      <c r="N107" s="2"/>
      <c r="O107" s="2"/>
      <c r="P107" s="2"/>
      <c r="Q107" s="2"/>
      <c r="S107" s="74"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00" t="s">
        <v>466</v>
      </c>
      <c r="AC111" s="101"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46"/>
      <c r="T113" s="46"/>
      <c r="U113" s="70"/>
    </row>
    <row r="114" spans="1:34" x14ac:dyDescent="0.25">
      <c r="A114" s="2">
        <v>8</v>
      </c>
      <c r="B114" s="2"/>
      <c r="C114" s="2"/>
      <c r="D114" s="2"/>
      <c r="E114" s="2"/>
      <c r="F114" s="2"/>
      <c r="G114" s="2"/>
      <c r="H114" s="2"/>
      <c r="I114" s="2"/>
      <c r="J114" s="2"/>
      <c r="K114" s="2"/>
      <c r="L114" s="2"/>
      <c r="M114" s="2"/>
      <c r="N114" s="2"/>
      <c r="O114" s="2"/>
      <c r="P114" s="2"/>
      <c r="Q114" s="2"/>
      <c r="S114" s="5" t="s">
        <v>338</v>
      </c>
      <c r="T114" s="95">
        <v>65</v>
      </c>
      <c r="U114" s="5" t="s">
        <v>43</v>
      </c>
      <c r="V114" s="95">
        <v>60</v>
      </c>
      <c r="W114" s="96">
        <v>60</v>
      </c>
      <c r="X114" s="107">
        <v>60</v>
      </c>
      <c r="Y114" s="97">
        <v>60</v>
      </c>
      <c r="Z114" s="99">
        <v>60</v>
      </c>
      <c r="AA114" s="100">
        <v>60</v>
      </c>
      <c r="AB114" s="100">
        <v>60</v>
      </c>
      <c r="AC114" s="104">
        <v>60</v>
      </c>
      <c r="AD114" s="105">
        <v>60</v>
      </c>
      <c r="AE114" s="106">
        <v>60</v>
      </c>
      <c r="AF114" s="108">
        <v>60</v>
      </c>
      <c r="AG114" s="102">
        <v>60</v>
      </c>
      <c r="AH114" s="10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95">
        <v>220</v>
      </c>
      <c r="U117" s="5" t="s">
        <v>43</v>
      </c>
      <c r="V117" s="95">
        <v>210</v>
      </c>
      <c r="W117" s="96">
        <v>210</v>
      </c>
      <c r="X117" s="107">
        <v>210</v>
      </c>
      <c r="Y117" s="97">
        <v>215</v>
      </c>
      <c r="Z117" s="99">
        <v>220</v>
      </c>
      <c r="AA117" s="100">
        <v>210</v>
      </c>
      <c r="AB117" s="100">
        <v>210</v>
      </c>
      <c r="AC117" s="104">
        <v>210</v>
      </c>
      <c r="AD117" s="105">
        <v>210</v>
      </c>
      <c r="AE117" s="106">
        <v>210</v>
      </c>
      <c r="AF117" s="108">
        <v>210</v>
      </c>
      <c r="AG117" s="102">
        <v>210</v>
      </c>
      <c r="AH117" s="109">
        <v>210</v>
      </c>
    </row>
    <row r="118" spans="1:34" x14ac:dyDescent="0.25">
      <c r="A118" s="2">
        <v>12</v>
      </c>
      <c r="B118" s="2"/>
      <c r="C118" s="2"/>
      <c r="D118" s="2"/>
      <c r="E118" s="2"/>
      <c r="F118" s="2"/>
      <c r="G118" s="2"/>
      <c r="H118" s="2"/>
      <c r="I118" s="2"/>
      <c r="J118" s="2"/>
      <c r="K118" s="2"/>
      <c r="L118" s="2"/>
      <c r="M118" s="2"/>
      <c r="N118" s="2"/>
      <c r="O118" s="2"/>
      <c r="P118" s="2"/>
      <c r="Q118" s="2"/>
      <c r="S118" s="5" t="s">
        <v>42</v>
      </c>
      <c r="T118" s="95">
        <v>1.75</v>
      </c>
      <c r="U118" s="5" t="s">
        <v>44</v>
      </c>
      <c r="V118" s="95">
        <v>2.85</v>
      </c>
      <c r="W118" s="96">
        <v>1.75</v>
      </c>
      <c r="X118" s="107">
        <v>1.75</v>
      </c>
      <c r="Y118" s="98">
        <v>1.75</v>
      </c>
      <c r="Z118" s="99">
        <v>1.75</v>
      </c>
      <c r="AA118" s="100">
        <v>1.75</v>
      </c>
      <c r="AB118" s="100">
        <v>1.75</v>
      </c>
      <c r="AC118" s="104">
        <v>1.75</v>
      </c>
      <c r="AD118" s="105">
        <v>1.75</v>
      </c>
      <c r="AE118" s="106">
        <v>1.75</v>
      </c>
      <c r="AF118" s="108">
        <v>1.75</v>
      </c>
      <c r="AG118" s="102">
        <v>2.85</v>
      </c>
      <c r="AH118" s="109">
        <v>1.75</v>
      </c>
    </row>
    <row r="119" spans="1:34" x14ac:dyDescent="0.25">
      <c r="A119" s="2">
        <v>13</v>
      </c>
      <c r="B119" s="2"/>
      <c r="C119" s="2"/>
      <c r="D119" s="2"/>
      <c r="E119" s="2"/>
      <c r="F119" s="2"/>
      <c r="G119" s="2"/>
      <c r="H119" s="2"/>
      <c r="I119" s="2"/>
      <c r="J119" s="2"/>
      <c r="K119" s="2"/>
      <c r="L119" s="2"/>
      <c r="M119" s="2"/>
      <c r="N119" s="2"/>
      <c r="O119" s="2"/>
      <c r="P119" s="2"/>
      <c r="Q119" s="2"/>
      <c r="S119" s="5" t="s">
        <v>46</v>
      </c>
      <c r="T119" s="95">
        <v>33</v>
      </c>
      <c r="U119" s="5" t="s">
        <v>90</v>
      </c>
      <c r="V119" s="95" t="s">
        <v>82</v>
      </c>
      <c r="W119" s="96" t="s">
        <v>44</v>
      </c>
      <c r="X119" s="107" t="s">
        <v>44</v>
      </c>
      <c r="Y119" s="98" t="s">
        <v>44</v>
      </c>
      <c r="Z119" s="99" t="s">
        <v>44</v>
      </c>
      <c r="AA119" s="100" t="s">
        <v>44</v>
      </c>
      <c r="AB119" s="100" t="s">
        <v>44</v>
      </c>
      <c r="AC119" s="104" t="s">
        <v>44</v>
      </c>
      <c r="AD119" s="105" t="s">
        <v>44</v>
      </c>
      <c r="AE119" s="106" t="s">
        <v>44</v>
      </c>
      <c r="AF119" s="108" t="s">
        <v>44</v>
      </c>
      <c r="AG119" s="102" t="s">
        <v>82</v>
      </c>
      <c r="AH119" s="109" t="s">
        <v>44</v>
      </c>
    </row>
    <row r="120" spans="1:34" x14ac:dyDescent="0.25">
      <c r="A120" s="2">
        <v>14</v>
      </c>
      <c r="B120" s="2"/>
      <c r="C120" s="2"/>
      <c r="D120" s="2"/>
      <c r="E120" s="2"/>
      <c r="F120" s="2"/>
      <c r="G120" s="2"/>
      <c r="H120" s="2"/>
      <c r="I120" s="2"/>
      <c r="J120" s="2"/>
      <c r="K120" s="2"/>
      <c r="L120" s="2"/>
      <c r="M120" s="2"/>
      <c r="N120" s="2"/>
      <c r="O120" s="2"/>
      <c r="P120" s="2"/>
      <c r="Q120" s="2"/>
      <c r="S120" s="5" t="s">
        <v>108</v>
      </c>
      <c r="T120" s="95" t="s">
        <v>635</v>
      </c>
      <c r="U120" s="5"/>
      <c r="V120" s="95" t="s">
        <v>153</v>
      </c>
      <c r="W120" s="96" t="s">
        <v>394</v>
      </c>
      <c r="X120" s="107" t="s">
        <v>393</v>
      </c>
      <c r="Y120" s="23" t="s">
        <v>455</v>
      </c>
      <c r="Z120" s="99" t="s">
        <v>425</v>
      </c>
      <c r="AA120" s="100" t="s">
        <v>465</v>
      </c>
      <c r="AB120" s="100" t="s">
        <v>466</v>
      </c>
      <c r="AC120" s="104" t="s">
        <v>489</v>
      </c>
      <c r="AD120" s="105" t="s">
        <v>504</v>
      </c>
      <c r="AE120" s="106" t="s">
        <v>554</v>
      </c>
      <c r="AF120" s="108" t="s">
        <v>558</v>
      </c>
      <c r="AG120" s="102" t="s">
        <v>591</v>
      </c>
      <c r="AH120" s="109" t="s">
        <v>592</v>
      </c>
    </row>
    <row r="121" spans="1:34" x14ac:dyDescent="0.25">
      <c r="A121" s="2">
        <v>15</v>
      </c>
      <c r="B121" s="2"/>
      <c r="C121" s="2"/>
      <c r="D121" s="2"/>
      <c r="E121" s="2"/>
      <c r="F121" s="2"/>
      <c r="G121" s="2"/>
      <c r="H121" s="2"/>
      <c r="I121" s="2"/>
      <c r="J121" s="2"/>
      <c r="K121" s="2"/>
      <c r="L121" s="2"/>
      <c r="M121" s="2"/>
      <c r="N121" s="2"/>
      <c r="O121" s="2"/>
      <c r="P121" s="2"/>
      <c r="Q121" s="2"/>
      <c r="S121" s="5" t="s">
        <v>152</v>
      </c>
      <c r="T121" s="95" t="s">
        <v>635</v>
      </c>
      <c r="U121" s="5"/>
      <c r="V121" s="95" t="s">
        <v>125</v>
      </c>
      <c r="W121" s="96" t="s">
        <v>394</v>
      </c>
      <c r="X121" s="107" t="s">
        <v>393</v>
      </c>
      <c r="Y121" s="23" t="s">
        <v>455</v>
      </c>
      <c r="Z121" s="99" t="s">
        <v>425</v>
      </c>
      <c r="AA121" s="100" t="s">
        <v>465</v>
      </c>
      <c r="AB121" s="100" t="s">
        <v>466</v>
      </c>
      <c r="AC121" s="104" t="s">
        <v>489</v>
      </c>
      <c r="AD121" s="105" t="s">
        <v>504</v>
      </c>
      <c r="AE121" s="106" t="s">
        <v>554</v>
      </c>
      <c r="AF121" s="108" t="s">
        <v>558</v>
      </c>
      <c r="AG121" s="102" t="s">
        <v>591</v>
      </c>
      <c r="AH121" s="109" t="s">
        <v>592</v>
      </c>
    </row>
    <row r="122" spans="1:34" x14ac:dyDescent="0.25">
      <c r="S122" s="5" t="s">
        <v>167</v>
      </c>
      <c r="T122" s="5">
        <v>20</v>
      </c>
      <c r="U122" s="5" t="s">
        <v>44</v>
      </c>
    </row>
    <row r="123" spans="1:34" x14ac:dyDescent="0.25">
      <c r="S123" s="5" t="s">
        <v>168</v>
      </c>
      <c r="T123" s="5">
        <v>10</v>
      </c>
      <c r="U123" s="5" t="s">
        <v>44</v>
      </c>
    </row>
    <row r="124" spans="1:34" x14ac:dyDescent="0.25">
      <c r="S124" s="5" t="s">
        <v>169</v>
      </c>
      <c r="T124" s="5">
        <v>0.3</v>
      </c>
      <c r="U124" s="5" t="s">
        <v>44</v>
      </c>
    </row>
    <row r="125" spans="1:34" x14ac:dyDescent="0.25">
      <c r="S125" s="62" t="s">
        <v>339</v>
      </c>
      <c r="T125" s="5">
        <v>185</v>
      </c>
      <c r="U125" s="5"/>
      <c r="V125" s="1"/>
    </row>
    <row r="126" spans="1:34" x14ac:dyDescent="0.25">
      <c r="S126" s="5" t="s">
        <v>154</v>
      </c>
      <c r="T126" s="5" t="s">
        <v>632</v>
      </c>
      <c r="U126" s="5" t="s">
        <v>158</v>
      </c>
    </row>
    <row r="127" spans="1:34" x14ac:dyDescent="0.25">
      <c r="S127" s="5" t="s">
        <v>159</v>
      </c>
      <c r="T127" s="5">
        <v>2</v>
      </c>
      <c r="U127" s="5" t="s">
        <v>44</v>
      </c>
      <c r="V127" s="1"/>
    </row>
    <row r="128" spans="1:34" x14ac:dyDescent="0.25">
      <c r="S128" s="5" t="s">
        <v>160</v>
      </c>
      <c r="T128" s="5">
        <v>1.25</v>
      </c>
      <c r="U128" s="5" t="s">
        <v>90</v>
      </c>
    </row>
    <row r="129" spans="1:46" x14ac:dyDescent="0.25">
      <c r="S129" s="5" t="s">
        <v>161</v>
      </c>
      <c r="T129" s="5">
        <v>2500</v>
      </c>
      <c r="U129" s="5" t="s">
        <v>45</v>
      </c>
    </row>
    <row r="130" spans="1:46" x14ac:dyDescent="0.25">
      <c r="S130" s="5" t="s">
        <v>162</v>
      </c>
      <c r="T130" s="5">
        <v>0</v>
      </c>
      <c r="U130" s="5" t="s">
        <v>90</v>
      </c>
    </row>
    <row r="131" spans="1:46" x14ac:dyDescent="0.25">
      <c r="S131" s="3" t="s">
        <v>163</v>
      </c>
      <c r="T131" s="3">
        <f>T129</f>
        <v>2500</v>
      </c>
      <c r="U131" s="5" t="s">
        <v>45</v>
      </c>
    </row>
    <row r="132" spans="1:46" x14ac:dyDescent="0.25">
      <c r="S132" s="3" t="s">
        <v>164</v>
      </c>
      <c r="T132" s="3">
        <v>0.65</v>
      </c>
      <c r="U132" s="5" t="s">
        <v>44</v>
      </c>
    </row>
    <row r="133" spans="1:46" x14ac:dyDescent="0.25">
      <c r="S133" s="3" t="s">
        <v>165</v>
      </c>
      <c r="T133" s="3">
        <v>10000</v>
      </c>
      <c r="U133" s="5" t="s">
        <v>45</v>
      </c>
    </row>
    <row r="134" spans="1:46" x14ac:dyDescent="0.25">
      <c r="U134" s="69"/>
    </row>
    <row r="135" spans="1:46" x14ac:dyDescent="0.25">
      <c r="S135" s="75" t="s">
        <v>292</v>
      </c>
      <c r="T135" s="75" t="s">
        <v>293</v>
      </c>
      <c r="U135" s="76" t="s">
        <v>331</v>
      </c>
    </row>
    <row r="136" spans="1:46" x14ac:dyDescent="0.25">
      <c r="S136" s="59"/>
      <c r="T136" s="59"/>
      <c r="U136" s="71" t="s">
        <v>109</v>
      </c>
    </row>
    <row r="137" spans="1:46" x14ac:dyDescent="0.25">
      <c r="S137" s="59"/>
      <c r="T137" s="59"/>
      <c r="U137" s="71" t="s">
        <v>109</v>
      </c>
    </row>
    <row r="139" spans="1:46" x14ac:dyDescent="0.25">
      <c r="A139" s="33" t="s">
        <v>129</v>
      </c>
      <c r="B139" s="2" t="s">
        <v>683</v>
      </c>
      <c r="C139" s="33" t="s">
        <v>128</v>
      </c>
      <c r="D139" s="2" t="s">
        <v>645</v>
      </c>
      <c r="G139" s="33" t="s">
        <v>129</v>
      </c>
      <c r="H139" s="2" t="s">
        <v>681</v>
      </c>
      <c r="I139" s="33" t="s">
        <v>128</v>
      </c>
      <c r="J139" s="2" t="s">
        <v>617</v>
      </c>
      <c r="U139" s="69"/>
      <c r="AO139" t="s">
        <v>130</v>
      </c>
      <c r="AP139" t="s">
        <v>684</v>
      </c>
      <c r="AQ139" t="s">
        <v>129</v>
      </c>
      <c r="AR139" t="s">
        <v>683</v>
      </c>
      <c r="AS139" t="s">
        <v>128</v>
      </c>
      <c r="AT139" t="s">
        <v>645</v>
      </c>
    </row>
    <row r="140" spans="1:46" x14ac:dyDescent="0.25">
      <c r="A140" s="32" t="s">
        <v>0</v>
      </c>
      <c r="B140" s="2"/>
      <c r="C140" s="2"/>
      <c r="D140" s="2"/>
      <c r="E140" s="2"/>
      <c r="F140" s="2"/>
      <c r="G140" s="2"/>
      <c r="H140" s="2"/>
      <c r="I140" s="2"/>
      <c r="J140" s="2"/>
      <c r="K140" s="2"/>
      <c r="L140" s="2"/>
      <c r="M140" s="2"/>
      <c r="N140" s="2"/>
      <c r="O140" s="2"/>
      <c r="P140" s="2"/>
      <c r="Q140" s="33" t="s">
        <v>289</v>
      </c>
      <c r="U140" s="69"/>
    </row>
    <row r="141" spans="1:46" x14ac:dyDescent="0.25">
      <c r="A141" s="2">
        <v>1</v>
      </c>
      <c r="B141" s="111"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74" t="s">
        <v>40</v>
      </c>
      <c r="T141" s="3"/>
      <c r="U141" s="5"/>
    </row>
    <row r="142" spans="1:46" x14ac:dyDescent="0.25">
      <c r="A142" s="2">
        <v>2</v>
      </c>
      <c r="B142" s="111"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11"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R50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00" t="s">
        <v>466</v>
      </c>
      <c r="AC145" s="101"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R-50</v>
      </c>
      <c r="I147" s="2" t="s">
        <v>100</v>
      </c>
      <c r="J147" s="2" t="s">
        <v>19</v>
      </c>
      <c r="K147" s="2" t="e">
        <f>ExtrusionWidth</f>
        <v>#NAME?</v>
      </c>
      <c r="L147" s="2" t="e">
        <f>ExtrusionHeight</f>
        <v>#NAME?</v>
      </c>
      <c r="M147" s="2"/>
      <c r="N147" s="2"/>
      <c r="O147" s="2"/>
      <c r="P147" s="2"/>
      <c r="Q147" s="2"/>
      <c r="S147" s="46"/>
      <c r="T147" s="46"/>
      <c r="U147" s="70"/>
    </row>
    <row r="148" spans="1:34" x14ac:dyDescent="0.25">
      <c r="A148" s="2">
        <v>8</v>
      </c>
      <c r="B148" s="2" t="s">
        <v>55</v>
      </c>
      <c r="C148" s="77" t="s">
        <v>667</v>
      </c>
      <c r="D148" s="2" t="e">
        <f>4*ExtrusionSpacing_L1</f>
        <v>#NAME?</v>
      </c>
      <c r="E148" s="2">
        <v>0</v>
      </c>
      <c r="F148" s="2">
        <v>0</v>
      </c>
      <c r="G148" s="2">
        <v>20</v>
      </c>
      <c r="H148" s="2"/>
      <c r="I148" s="2"/>
      <c r="J148" s="2"/>
      <c r="K148" s="2"/>
      <c r="L148" s="2"/>
      <c r="M148" s="2"/>
      <c r="N148" s="2"/>
      <c r="O148" s="2"/>
      <c r="P148" s="2"/>
      <c r="Q148" s="2"/>
      <c r="S148" s="5" t="s">
        <v>338</v>
      </c>
      <c r="T148" s="95">
        <v>65</v>
      </c>
      <c r="U148" s="5" t="s">
        <v>43</v>
      </c>
      <c r="V148" s="95">
        <v>60</v>
      </c>
      <c r="W148" s="96">
        <v>60</v>
      </c>
      <c r="X148" s="107">
        <v>60</v>
      </c>
      <c r="Y148" s="97">
        <v>60</v>
      </c>
      <c r="Z148" s="99">
        <v>60</v>
      </c>
      <c r="AA148" s="100">
        <v>60</v>
      </c>
      <c r="AB148" s="100">
        <v>60</v>
      </c>
      <c r="AC148" s="104">
        <v>60</v>
      </c>
      <c r="AD148" s="105">
        <v>60</v>
      </c>
      <c r="AE148" s="106">
        <v>60</v>
      </c>
      <c r="AF148" s="108">
        <v>60</v>
      </c>
      <c r="AG148" s="102">
        <v>60</v>
      </c>
      <c r="AH148" s="109">
        <v>60</v>
      </c>
    </row>
    <row r="149" spans="1:34" x14ac:dyDescent="0.25">
      <c r="A149" s="2">
        <v>9</v>
      </c>
      <c r="B149" s="91"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91"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91" t="s">
        <v>49</v>
      </c>
      <c r="C151" s="2" t="s">
        <v>634</v>
      </c>
      <c r="D151" s="2"/>
      <c r="E151" s="2"/>
      <c r="F151" s="91"/>
      <c r="G151" s="2"/>
      <c r="H151" s="2"/>
      <c r="I151" s="2"/>
      <c r="J151" s="2"/>
      <c r="K151" s="2"/>
      <c r="L151" s="2"/>
      <c r="M151" s="2"/>
      <c r="N151" s="2"/>
      <c r="O151" s="2"/>
      <c r="P151" s="2"/>
      <c r="Q151" s="2"/>
      <c r="S151" s="5" t="s">
        <v>41</v>
      </c>
      <c r="T151" s="95">
        <v>220</v>
      </c>
      <c r="U151" s="5" t="s">
        <v>43</v>
      </c>
      <c r="V151" s="95">
        <v>210</v>
      </c>
      <c r="W151" s="96">
        <v>210</v>
      </c>
      <c r="X151" s="107">
        <v>210</v>
      </c>
      <c r="Y151" s="97">
        <v>215</v>
      </c>
      <c r="Z151" s="99">
        <v>220</v>
      </c>
      <c r="AA151" s="100">
        <v>210</v>
      </c>
      <c r="AB151" s="100">
        <v>210</v>
      </c>
      <c r="AC151" s="104">
        <v>210</v>
      </c>
      <c r="AD151" s="105">
        <v>210</v>
      </c>
      <c r="AE151" s="106">
        <v>210</v>
      </c>
      <c r="AF151" s="108">
        <v>210</v>
      </c>
      <c r="AG151" s="102">
        <v>210</v>
      </c>
      <c r="AH151" s="109">
        <v>210</v>
      </c>
    </row>
    <row r="152" spans="1:34" x14ac:dyDescent="0.25">
      <c r="A152" s="2">
        <v>12</v>
      </c>
      <c r="B152" s="111"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95">
        <v>1.75</v>
      </c>
      <c r="U152" s="5" t="s">
        <v>44</v>
      </c>
      <c r="V152" s="95">
        <v>2.85</v>
      </c>
      <c r="W152" s="96">
        <v>1.75</v>
      </c>
      <c r="X152" s="107">
        <v>1.75</v>
      </c>
      <c r="Y152" s="98">
        <v>1.75</v>
      </c>
      <c r="Z152" s="99">
        <v>1.75</v>
      </c>
      <c r="AA152" s="100">
        <v>1.75</v>
      </c>
      <c r="AB152" s="100">
        <v>1.75</v>
      </c>
      <c r="AC152" s="104">
        <v>1.75</v>
      </c>
      <c r="AD152" s="105">
        <v>1.75</v>
      </c>
      <c r="AE152" s="106">
        <v>1.75</v>
      </c>
      <c r="AF152" s="108">
        <v>1.75</v>
      </c>
      <c r="AG152" s="102">
        <v>2.85</v>
      </c>
      <c r="AH152" s="109">
        <v>1.75</v>
      </c>
    </row>
    <row r="153" spans="1:34" x14ac:dyDescent="0.25">
      <c r="A153" s="2">
        <v>13</v>
      </c>
      <c r="B153" s="91" t="s">
        <v>1</v>
      </c>
      <c r="C153" s="2" t="s">
        <v>18</v>
      </c>
      <c r="D153" s="2" t="e">
        <f>StartX+ExtrusionSpacing_L1</f>
        <v>#NAME?</v>
      </c>
      <c r="E153" s="2" t="e">
        <f>StartY+Length+ExtrusionSpacing_L1</f>
        <v>#NAME?</v>
      </c>
      <c r="F153" s="2">
        <v>1E-4</v>
      </c>
      <c r="G153" s="2" t="s">
        <v>100</v>
      </c>
      <c r="H153" s="2" t="str">
        <f>CONCATENATE("R-", Length)</f>
        <v>R-50</v>
      </c>
      <c r="I153" s="2" t="s">
        <v>100</v>
      </c>
      <c r="J153" s="2" t="s">
        <v>19</v>
      </c>
      <c r="K153" s="2" t="e">
        <f>ExtrusionWidth</f>
        <v>#NAME?</v>
      </c>
      <c r="L153" s="2" t="e">
        <f>ExtrusionHeight</f>
        <v>#NAME?</v>
      </c>
      <c r="M153" s="2"/>
      <c r="N153" s="2"/>
      <c r="O153" s="2"/>
      <c r="P153" s="2"/>
      <c r="Q153" s="2"/>
      <c r="S153" s="5" t="s">
        <v>46</v>
      </c>
      <c r="T153" s="95">
        <v>33</v>
      </c>
      <c r="U153" s="5" t="s">
        <v>90</v>
      </c>
      <c r="V153" s="95" t="s">
        <v>82</v>
      </c>
      <c r="W153" s="96" t="s">
        <v>44</v>
      </c>
      <c r="X153" s="107" t="s">
        <v>44</v>
      </c>
      <c r="Y153" s="98" t="s">
        <v>44</v>
      </c>
      <c r="Z153" s="99" t="s">
        <v>44</v>
      </c>
      <c r="AA153" s="100" t="s">
        <v>44</v>
      </c>
      <c r="AB153" s="100" t="s">
        <v>44</v>
      </c>
      <c r="AC153" s="104" t="s">
        <v>44</v>
      </c>
      <c r="AD153" s="105" t="s">
        <v>44</v>
      </c>
      <c r="AE153" s="106" t="s">
        <v>44</v>
      </c>
      <c r="AF153" s="108" t="s">
        <v>44</v>
      </c>
      <c r="AG153" s="102" t="s">
        <v>82</v>
      </c>
      <c r="AH153" s="109" t="s">
        <v>44</v>
      </c>
    </row>
    <row r="154" spans="1:34" x14ac:dyDescent="0.25">
      <c r="A154" s="2">
        <v>14</v>
      </c>
      <c r="B154" s="91"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95" t="s">
        <v>635</v>
      </c>
      <c r="U154" s="5"/>
      <c r="V154" s="95" t="s">
        <v>153</v>
      </c>
      <c r="W154" s="96" t="s">
        <v>394</v>
      </c>
      <c r="X154" s="107" t="s">
        <v>393</v>
      </c>
      <c r="Y154" s="23" t="s">
        <v>455</v>
      </c>
      <c r="Z154" s="99" t="s">
        <v>425</v>
      </c>
      <c r="AA154" s="100" t="s">
        <v>465</v>
      </c>
      <c r="AB154" s="100" t="s">
        <v>466</v>
      </c>
      <c r="AC154" s="104" t="s">
        <v>489</v>
      </c>
      <c r="AD154" s="105" t="s">
        <v>504</v>
      </c>
      <c r="AE154" s="106" t="s">
        <v>554</v>
      </c>
      <c r="AF154" s="108" t="s">
        <v>558</v>
      </c>
      <c r="AG154" s="102" t="s">
        <v>591</v>
      </c>
      <c r="AH154" s="109" t="s">
        <v>592</v>
      </c>
    </row>
    <row r="155" spans="1:34" x14ac:dyDescent="0.25">
      <c r="A155" s="2">
        <v>15</v>
      </c>
      <c r="B155" s="91" t="s">
        <v>1</v>
      </c>
      <c r="C155" s="2" t="s">
        <v>18</v>
      </c>
      <c r="D155" s="2" t="s">
        <v>100</v>
      </c>
      <c r="E155" s="2" t="s">
        <v>100</v>
      </c>
      <c r="F155" s="2" t="s">
        <v>100</v>
      </c>
      <c r="G155" s="2" t="s">
        <v>100</v>
      </c>
      <c r="H155" s="2" t="str" cm="1">
        <f t="array" ref="H155">CONCATENATE("R", Length)</f>
        <v>R50</v>
      </c>
      <c r="I155" s="2" t="s">
        <v>100</v>
      </c>
      <c r="J155" s="2" t="s">
        <v>19</v>
      </c>
      <c r="K155" s="2" t="e">
        <f>ExtrusionWidth</f>
        <v>#NAME?</v>
      </c>
      <c r="L155" s="2" t="e">
        <f>ExtrusionHeight</f>
        <v>#NAME?</v>
      </c>
      <c r="M155" s="2"/>
      <c r="N155" s="2"/>
      <c r="O155" s="2"/>
      <c r="P155" s="2"/>
      <c r="Q155" s="2"/>
      <c r="S155" s="5" t="s">
        <v>152</v>
      </c>
      <c r="T155" s="95" t="s">
        <v>635</v>
      </c>
      <c r="U155" s="5"/>
      <c r="V155" s="95" t="s">
        <v>125</v>
      </c>
      <c r="W155" s="96" t="s">
        <v>394</v>
      </c>
      <c r="X155" s="107" t="s">
        <v>393</v>
      </c>
      <c r="Y155" s="23" t="s">
        <v>455</v>
      </c>
      <c r="Z155" s="99" t="s">
        <v>425</v>
      </c>
      <c r="AA155" s="100" t="s">
        <v>465</v>
      </c>
      <c r="AB155" s="100" t="s">
        <v>466</v>
      </c>
      <c r="AC155" s="104" t="s">
        <v>489</v>
      </c>
      <c r="AD155" s="105" t="s">
        <v>504</v>
      </c>
      <c r="AE155" s="106" t="s">
        <v>554</v>
      </c>
      <c r="AF155" s="108" t="s">
        <v>558</v>
      </c>
      <c r="AG155" s="102" t="s">
        <v>591</v>
      </c>
      <c r="AH155" s="109" t="s">
        <v>592</v>
      </c>
    </row>
    <row r="156" spans="1:34" x14ac:dyDescent="0.25">
      <c r="A156" s="2">
        <v>16</v>
      </c>
      <c r="B156" s="91"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91" t="s">
        <v>55</v>
      </c>
      <c r="C157" s="77"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91"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11"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62"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R50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R-50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91" t="s">
        <v>55</v>
      </c>
      <c r="C164" s="77"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91"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91" t="s">
        <v>49</v>
      </c>
      <c r="C166" s="2" t="s">
        <v>203</v>
      </c>
      <c r="D166" s="2">
        <v>0</v>
      </c>
      <c r="E166" s="2"/>
      <c r="F166" s="2"/>
      <c r="G166" s="2"/>
      <c r="H166" s="91"/>
      <c r="I166" s="2"/>
      <c r="J166" s="2"/>
      <c r="K166" s="2"/>
      <c r="L166" s="2"/>
      <c r="M166" s="2"/>
      <c r="N166" s="2"/>
      <c r="O166" s="2"/>
      <c r="P166" s="2"/>
      <c r="Q166" s="2"/>
      <c r="S166" s="3" t="s">
        <v>164</v>
      </c>
      <c r="T166" s="3">
        <v>0.65</v>
      </c>
      <c r="U166" s="5" t="s">
        <v>44</v>
      </c>
    </row>
    <row r="167" spans="1:40" x14ac:dyDescent="0.25">
      <c r="A167" s="2">
        <v>27</v>
      </c>
      <c r="B167" s="91"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11" t="s">
        <v>658</v>
      </c>
      <c r="C168" s="2" t="s">
        <v>18</v>
      </c>
      <c r="D168" s="2" t="s">
        <v>100</v>
      </c>
      <c r="E168" s="2" t="s">
        <v>100</v>
      </c>
      <c r="F168" s="2" t="s">
        <v>100</v>
      </c>
      <c r="G168" s="2">
        <v>50</v>
      </c>
      <c r="H168" s="2">
        <v>50</v>
      </c>
      <c r="I168" s="2" t="e">
        <f>LayerHeight</f>
        <v>#NAME?</v>
      </c>
      <c r="J168" s="2" t="s">
        <v>23</v>
      </c>
      <c r="K168" s="2"/>
      <c r="L168" s="2"/>
      <c r="M168" s="2"/>
      <c r="N168" s="2"/>
      <c r="O168" s="2"/>
      <c r="P168" s="2"/>
      <c r="Q168" s="2"/>
      <c r="U168" s="69"/>
    </row>
    <row r="169" spans="1:40" x14ac:dyDescent="0.25">
      <c r="A169" s="2">
        <v>29</v>
      </c>
      <c r="B169" s="91" t="s">
        <v>1</v>
      </c>
      <c r="C169" s="2" t="s">
        <v>18</v>
      </c>
      <c r="D169" s="2" t="e">
        <f>StartX+ExtrusionSpacing_L1</f>
        <v>#NAME?</v>
      </c>
      <c r="E169" s="2" t="e">
        <f>StartY+Length+ExtrusionSpacing_L1</f>
        <v>#NAME?</v>
      </c>
      <c r="F169" s="2">
        <v>0.9</v>
      </c>
      <c r="G169" s="2" t="s">
        <v>100</v>
      </c>
      <c r="H169" s="2" t="str">
        <f>CONCATENATE("R-", Length)</f>
        <v>R-50</v>
      </c>
      <c r="I169" s="2" t="s">
        <v>100</v>
      </c>
      <c r="J169" s="2" t="s">
        <v>19</v>
      </c>
      <c r="K169" s="2" t="e">
        <f>ExtrusionWidth</f>
        <v>#NAME?</v>
      </c>
      <c r="L169" s="2" t="e">
        <f>ExtrusionHeight</f>
        <v>#NAME?</v>
      </c>
      <c r="M169" s="2"/>
      <c r="N169" s="2"/>
      <c r="O169" s="91"/>
      <c r="P169" s="2"/>
      <c r="Q169" s="2"/>
      <c r="S169" s="75" t="s">
        <v>292</v>
      </c>
      <c r="T169" s="75" t="s">
        <v>293</v>
      </c>
      <c r="U169" s="76" t="s">
        <v>331</v>
      </c>
    </row>
    <row r="170" spans="1:40" x14ac:dyDescent="0.25">
      <c r="A170" s="2">
        <v>30</v>
      </c>
      <c r="B170" s="91"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S170" s="59" t="s">
        <v>662</v>
      </c>
      <c r="T170" s="59">
        <v>1.35</v>
      </c>
      <c r="U170" s="71" t="s">
        <v>109</v>
      </c>
    </row>
    <row r="171" spans="1:40" x14ac:dyDescent="0.25">
      <c r="A171" s="2">
        <v>31</v>
      </c>
      <c r="B171" s="91" t="s">
        <v>1</v>
      </c>
      <c r="C171" s="2" t="s">
        <v>18</v>
      </c>
      <c r="D171" s="2" t="s">
        <v>100</v>
      </c>
      <c r="E171" s="2" t="s">
        <v>100</v>
      </c>
      <c r="F171" s="2" t="s">
        <v>100</v>
      </c>
      <c r="G171" s="2" t="s">
        <v>100</v>
      </c>
      <c r="H171" s="2" t="str" cm="1">
        <f t="array" ref="H171">CONCATENATE("R", Length)</f>
        <v>R50</v>
      </c>
      <c r="I171" s="2" t="s">
        <v>100</v>
      </c>
      <c r="J171" s="2" t="s">
        <v>19</v>
      </c>
      <c r="K171" s="2" t="e">
        <f>ExtrusionWidth</f>
        <v>#NAME?</v>
      </c>
      <c r="L171" s="2" t="e">
        <f>ExtrusionHeight</f>
        <v>#NAME?</v>
      </c>
      <c r="M171" s="2"/>
      <c r="N171" s="2"/>
      <c r="O171" s="2"/>
      <c r="P171" s="2"/>
      <c r="Q171" s="2"/>
      <c r="S171" s="59" t="s">
        <v>661</v>
      </c>
      <c r="T171" s="59">
        <v>1.1000000000000001</v>
      </c>
      <c r="U171" s="71" t="s">
        <v>109</v>
      </c>
    </row>
    <row r="172" spans="1:40" x14ac:dyDescent="0.25">
      <c r="A172" s="2">
        <v>32</v>
      </c>
      <c r="B172" s="91"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59" t="s">
        <v>672</v>
      </c>
      <c r="T172" s="59">
        <v>1.2</v>
      </c>
      <c r="U172" s="71" t="s">
        <v>109</v>
      </c>
    </row>
    <row r="173" spans="1:40" x14ac:dyDescent="0.25">
      <c r="A173" s="2">
        <v>33</v>
      </c>
      <c r="B173" s="2" t="s">
        <v>55</v>
      </c>
      <c r="C173" s="77" t="s">
        <v>676</v>
      </c>
      <c r="D173" s="2" t="e">
        <f>4*ExtrusionSpacing_L1</f>
        <v>#NAME?</v>
      </c>
      <c r="E173" s="2">
        <v>0</v>
      </c>
      <c r="F173" s="2">
        <v>0</v>
      </c>
      <c r="G173" s="2">
        <v>20</v>
      </c>
      <c r="H173" s="2"/>
      <c r="I173" s="2"/>
      <c r="J173" s="2"/>
      <c r="K173" s="2"/>
      <c r="L173" s="2"/>
      <c r="M173" s="2"/>
      <c r="N173" s="2"/>
      <c r="O173" s="2"/>
      <c r="P173" s="2"/>
      <c r="Q173" s="2"/>
      <c r="S173" s="59" t="s">
        <v>673</v>
      </c>
      <c r="T173" s="59">
        <v>0.9</v>
      </c>
      <c r="U173" s="71" t="s">
        <v>109</v>
      </c>
    </row>
    <row r="174" spans="1:40" x14ac:dyDescent="0.25">
      <c r="A174" s="2">
        <v>34</v>
      </c>
      <c r="B174" s="91" t="s">
        <v>39</v>
      </c>
      <c r="C174" s="2">
        <v>1.25</v>
      </c>
      <c r="D174" s="2">
        <v>2100</v>
      </c>
      <c r="E174" s="2" t="e">
        <f>LayerHeight</f>
        <v>#NAME?</v>
      </c>
      <c r="F174" s="2">
        <v>10000</v>
      </c>
      <c r="G174" s="2"/>
      <c r="H174" s="2"/>
      <c r="I174" s="2"/>
      <c r="J174" s="2"/>
      <c r="K174" s="2"/>
      <c r="L174" s="2"/>
      <c r="M174" s="2"/>
      <c r="N174" s="2"/>
      <c r="O174" s="2"/>
      <c r="P174" s="2"/>
      <c r="Q174" s="2"/>
      <c r="S174" s="59" t="s">
        <v>644</v>
      </c>
      <c r="T174" s="59" t="s">
        <v>467</v>
      </c>
      <c r="U174" s="71" t="s">
        <v>109</v>
      </c>
    </row>
    <row r="175" spans="1:40" x14ac:dyDescent="0.25">
      <c r="A175" s="2">
        <v>35</v>
      </c>
      <c r="B175" s="91" t="s">
        <v>55</v>
      </c>
      <c r="C175" s="2" t="s">
        <v>677</v>
      </c>
      <c r="D175" s="2">
        <v>0</v>
      </c>
      <c r="E175" s="2">
        <v>0</v>
      </c>
      <c r="F175" s="2" t="e">
        <f>2*LayerHeight</f>
        <v>#NAME?</v>
      </c>
      <c r="G175" s="2">
        <v>15</v>
      </c>
      <c r="H175" s="2"/>
      <c r="I175" s="2"/>
      <c r="J175" s="2"/>
      <c r="K175" s="2"/>
      <c r="L175" s="2"/>
      <c r="M175" s="2"/>
      <c r="N175" s="2"/>
      <c r="O175" s="2"/>
      <c r="P175" s="2"/>
      <c r="Q175" s="2"/>
      <c r="R175" s="64"/>
      <c r="S175" s="59" t="s">
        <v>309</v>
      </c>
      <c r="T175" s="59">
        <v>0.9</v>
      </c>
      <c r="U175" s="71" t="s">
        <v>109</v>
      </c>
      <c r="V175" s="64"/>
      <c r="W175" s="64"/>
      <c r="X175" s="64"/>
      <c r="Y175" s="64"/>
      <c r="Z175" s="64"/>
      <c r="AA175" s="64"/>
      <c r="AB175" s="64"/>
      <c r="AC175" s="64"/>
      <c r="AD175" s="64"/>
      <c r="AE175" s="64"/>
      <c r="AF175" s="64"/>
      <c r="AG175" s="64"/>
      <c r="AH175" s="64"/>
      <c r="AI175" s="64"/>
      <c r="AJ175" s="64"/>
      <c r="AK175" s="64"/>
      <c r="AL175" s="64"/>
      <c r="AM175" s="64"/>
      <c r="AN175" s="64"/>
    </row>
    <row r="176" spans="1:40" x14ac:dyDescent="0.25">
      <c r="A176" s="2">
        <v>36</v>
      </c>
      <c r="B176" s="91"/>
      <c r="C176" s="2"/>
      <c r="D176" s="2"/>
      <c r="E176" s="2"/>
      <c r="F176" s="2"/>
      <c r="G176" s="2"/>
      <c r="H176" s="2"/>
      <c r="I176" s="2"/>
      <c r="J176" s="2"/>
      <c r="K176" s="2"/>
      <c r="L176" s="2"/>
      <c r="M176" s="2"/>
      <c r="N176" s="2"/>
      <c r="O176" s="2"/>
      <c r="P176" s="2"/>
      <c r="Q176" s="2"/>
      <c r="R176" s="64"/>
      <c r="S176" s="59" t="s">
        <v>678</v>
      </c>
      <c r="T176" s="59">
        <v>50</v>
      </c>
      <c r="U176" s="71" t="s">
        <v>109</v>
      </c>
      <c r="V176" s="64"/>
      <c r="W176" s="64"/>
      <c r="X176" s="64"/>
      <c r="Y176" s="64"/>
      <c r="Z176" s="64"/>
      <c r="AA176" s="64"/>
      <c r="AB176" s="64"/>
      <c r="AC176" s="64"/>
      <c r="AD176" s="64"/>
      <c r="AE176" s="64"/>
      <c r="AF176" s="64"/>
      <c r="AG176" s="64"/>
      <c r="AH176" s="64"/>
      <c r="AI176" s="64"/>
      <c r="AJ176" s="64"/>
      <c r="AK176" s="64"/>
      <c r="AL176" s="64"/>
      <c r="AM176" s="64"/>
      <c r="AN176" s="64"/>
    </row>
    <row r="177" spans="1:40" x14ac:dyDescent="0.25">
      <c r="A177" s="2">
        <v>37</v>
      </c>
      <c r="B177" s="91"/>
      <c r="C177" s="2"/>
      <c r="D177" s="2"/>
      <c r="E177" s="2"/>
      <c r="F177" s="2"/>
      <c r="G177" s="2"/>
      <c r="H177" s="2"/>
      <c r="I177" s="2"/>
      <c r="J177" s="2"/>
      <c r="K177" s="2"/>
      <c r="L177" s="2"/>
      <c r="M177" s="2"/>
      <c r="N177" s="2"/>
      <c r="O177" s="2"/>
      <c r="P177" s="2"/>
      <c r="Q177" s="2"/>
      <c r="R177" s="64"/>
      <c r="S177" s="59" t="s">
        <v>271</v>
      </c>
      <c r="T177" s="59">
        <v>50</v>
      </c>
      <c r="U177" s="71" t="s">
        <v>109</v>
      </c>
      <c r="V177" s="64"/>
      <c r="W177" s="64"/>
      <c r="X177" s="64"/>
      <c r="Y177" s="64"/>
      <c r="Z177" s="64"/>
      <c r="AA177" s="64"/>
      <c r="AB177" s="64"/>
      <c r="AC177" s="64"/>
      <c r="AD177" s="64"/>
      <c r="AE177" s="64"/>
      <c r="AF177" s="64"/>
      <c r="AG177" s="64"/>
      <c r="AH177" s="64"/>
      <c r="AI177" s="64"/>
      <c r="AJ177" s="64"/>
      <c r="AK177" s="64"/>
      <c r="AL177" s="64"/>
      <c r="AM177" s="64"/>
      <c r="AN177" s="64"/>
    </row>
    <row r="178" spans="1:40" x14ac:dyDescent="0.25">
      <c r="A178" s="2">
        <v>38</v>
      </c>
      <c r="B178" s="91"/>
      <c r="C178" s="2"/>
      <c r="D178" s="2"/>
      <c r="E178" s="2"/>
      <c r="F178" s="2"/>
      <c r="G178" s="2"/>
      <c r="H178" s="2"/>
      <c r="I178" s="2"/>
      <c r="J178" s="2"/>
      <c r="K178" s="2"/>
      <c r="L178" s="2"/>
      <c r="M178" s="2"/>
      <c r="N178" s="2"/>
      <c r="O178" s="2"/>
      <c r="P178" s="2"/>
      <c r="Q178" s="2"/>
      <c r="R178" s="64"/>
      <c r="S178" s="59" t="s">
        <v>272</v>
      </c>
      <c r="T178" s="59">
        <v>75</v>
      </c>
      <c r="U178" s="71" t="s">
        <v>109</v>
      </c>
      <c r="V178" s="64"/>
      <c r="W178" s="64"/>
      <c r="X178" s="64"/>
      <c r="Y178" s="64"/>
      <c r="Z178" s="64"/>
      <c r="AA178" s="64"/>
      <c r="AB178" s="64"/>
      <c r="AC178" s="64"/>
      <c r="AD178" s="64"/>
      <c r="AE178" s="64"/>
      <c r="AF178" s="64"/>
      <c r="AG178" s="64"/>
      <c r="AH178" s="64"/>
      <c r="AI178" s="64"/>
      <c r="AJ178" s="64"/>
      <c r="AK178" s="64"/>
      <c r="AL178" s="64"/>
      <c r="AM178" s="64"/>
      <c r="AN178" s="64"/>
    </row>
    <row r="179" spans="1:40" x14ac:dyDescent="0.25">
      <c r="A179" s="2">
        <v>39</v>
      </c>
      <c r="B179" s="91"/>
      <c r="C179" s="2"/>
      <c r="D179" s="2"/>
      <c r="E179" s="2"/>
      <c r="F179" s="2"/>
      <c r="G179" s="2"/>
      <c r="H179" s="2"/>
      <c r="I179" s="2"/>
      <c r="J179" s="2"/>
      <c r="K179" s="2"/>
      <c r="L179" s="2"/>
      <c r="M179" s="2"/>
      <c r="N179" s="2"/>
      <c r="O179" s="2"/>
      <c r="P179" s="2"/>
      <c r="Q179" s="2"/>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row>
    <row r="180" spans="1:40" x14ac:dyDescent="0.25">
      <c r="A180" s="2">
        <v>40</v>
      </c>
      <c r="B180" s="91"/>
      <c r="C180" s="2"/>
      <c r="D180" s="2"/>
      <c r="E180" s="2"/>
      <c r="F180" s="2"/>
      <c r="G180" s="2"/>
      <c r="H180" s="2"/>
      <c r="I180" s="2"/>
      <c r="J180" s="2"/>
      <c r="K180" s="2"/>
      <c r="L180" s="2"/>
      <c r="M180" s="2"/>
      <c r="N180" s="2"/>
      <c r="O180" s="2"/>
      <c r="P180" s="2"/>
      <c r="Q180" s="2"/>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ht="31.5" x14ac:dyDescent="0.5">
      <c r="B1" s="60" t="s">
        <v>341</v>
      </c>
    </row>
    <row r="2" spans="1:21" x14ac:dyDescent="0.25">
      <c r="B2" s="34" t="s">
        <v>145</v>
      </c>
      <c r="C2" s="1" t="s">
        <v>18</v>
      </c>
      <c r="D2" s="1" t="s">
        <v>3</v>
      </c>
      <c r="E2" s="1" t="s">
        <v>4</v>
      </c>
      <c r="F2" s="1" t="s">
        <v>33</v>
      </c>
      <c r="G2" s="1" t="s">
        <v>5</v>
      </c>
      <c r="H2" s="1" t="s">
        <v>6</v>
      </c>
      <c r="I2" s="1" t="s">
        <v>34</v>
      </c>
      <c r="J2" s="1" t="s">
        <v>77</v>
      </c>
      <c r="K2" s="1" t="s">
        <v>15</v>
      </c>
      <c r="L2" s="1" t="s">
        <v>11</v>
      </c>
      <c r="M2" s="1" t="s">
        <v>181</v>
      </c>
      <c r="N2" s="1"/>
      <c r="O2" s="1"/>
      <c r="P2" s="1"/>
      <c r="Q2" s="1"/>
    </row>
    <row r="3" spans="1:21" ht="14.45" customHeight="1" x14ac:dyDescent="0.25">
      <c r="B3" s="34" t="s">
        <v>146</v>
      </c>
      <c r="C3" s="1" t="s">
        <v>2</v>
      </c>
      <c r="D3" s="1" t="s">
        <v>73</v>
      </c>
      <c r="E3" s="1" t="s">
        <v>74</v>
      </c>
      <c r="F3" s="1" t="s">
        <v>76</v>
      </c>
      <c r="G3" s="1" t="s">
        <v>69</v>
      </c>
      <c r="H3" s="1" t="s">
        <v>33</v>
      </c>
      <c r="I3" s="1" t="s">
        <v>501</v>
      </c>
      <c r="J3" s="1" t="s">
        <v>72</v>
      </c>
      <c r="K3" s="1" t="s">
        <v>34</v>
      </c>
      <c r="L3" s="1" t="s">
        <v>77</v>
      </c>
      <c r="M3" s="1" t="s">
        <v>15</v>
      </c>
      <c r="N3" s="1" t="s">
        <v>11</v>
      </c>
      <c r="O3" s="1" t="s">
        <v>181</v>
      </c>
      <c r="P3" s="1"/>
      <c r="Q3" s="1"/>
    </row>
    <row r="4" spans="1:21" ht="14.45" customHeight="1" x14ac:dyDescent="0.25">
      <c r="B4" s="1" t="s">
        <v>172</v>
      </c>
      <c r="C4" s="1" t="s">
        <v>93</v>
      </c>
      <c r="D4" s="1" t="s">
        <v>94</v>
      </c>
      <c r="E4" s="1" t="s">
        <v>95</v>
      </c>
      <c r="F4" s="1" t="s">
        <v>96</v>
      </c>
      <c r="G4" s="1" t="s">
        <v>97</v>
      </c>
      <c r="H4" s="1" t="s">
        <v>112</v>
      </c>
      <c r="I4" s="1" t="s">
        <v>15</v>
      </c>
      <c r="J4" s="1" t="s">
        <v>11</v>
      </c>
      <c r="K4" s="1" t="s">
        <v>245</v>
      </c>
      <c r="L4" s="1" t="s">
        <v>191</v>
      </c>
      <c r="M4" s="1" t="s">
        <v>192</v>
      </c>
      <c r="O4" s="49" t="s">
        <v>150</v>
      </c>
      <c r="P4" s="51" t="s">
        <v>250</v>
      </c>
      <c r="Q4" s="51"/>
      <c r="R4" s="51"/>
      <c r="S4" s="51"/>
      <c r="T4" s="51"/>
    </row>
    <row r="5" spans="1:21" ht="14.45" customHeight="1" x14ac:dyDescent="0.25">
      <c r="B5" s="1" t="s">
        <v>173</v>
      </c>
      <c r="C5" s="1" t="s">
        <v>73</v>
      </c>
      <c r="D5" s="1" t="s">
        <v>74</v>
      </c>
      <c r="E5" s="1" t="s">
        <v>175</v>
      </c>
      <c r="F5" s="1" t="s">
        <v>174</v>
      </c>
      <c r="G5" s="1" t="s">
        <v>95</v>
      </c>
      <c r="H5" s="1" t="s">
        <v>96</v>
      </c>
      <c r="I5" s="1" t="s">
        <v>97</v>
      </c>
      <c r="J5" s="1" t="s">
        <v>112</v>
      </c>
      <c r="K5" s="1" t="s">
        <v>15</v>
      </c>
      <c r="L5" s="1" t="s">
        <v>11</v>
      </c>
      <c r="M5" s="1" t="s">
        <v>245</v>
      </c>
      <c r="N5" s="1" t="s">
        <v>191</v>
      </c>
      <c r="O5" s="1" t="s">
        <v>389</v>
      </c>
      <c r="P5" s="51" t="s">
        <v>251</v>
      </c>
      <c r="Q5" s="51"/>
      <c r="R5" s="51"/>
      <c r="S5" s="51"/>
      <c r="T5" s="51"/>
      <c r="U5" s="51"/>
    </row>
    <row r="6" spans="1:21" x14ac:dyDescent="0.25">
      <c r="B6" s="1" t="s">
        <v>10</v>
      </c>
      <c r="C6" s="1" t="s">
        <v>73</v>
      </c>
      <c r="D6" s="1" t="s">
        <v>74</v>
      </c>
      <c r="E6" s="1" t="s">
        <v>75</v>
      </c>
      <c r="F6" s="1" t="s">
        <v>14</v>
      </c>
      <c r="G6" s="1" t="s">
        <v>69</v>
      </c>
      <c r="H6" s="1" t="s">
        <v>71</v>
      </c>
      <c r="I6" s="1" t="s">
        <v>16</v>
      </c>
      <c r="J6" s="1" t="s">
        <v>66</v>
      </c>
      <c r="K6" s="1" t="s">
        <v>15</v>
      </c>
      <c r="L6" s="1" t="s">
        <v>11</v>
      </c>
      <c r="M6" s="1" t="s">
        <v>273</v>
      </c>
      <c r="N6" s="1"/>
      <c r="O6" s="1"/>
      <c r="P6" s="1"/>
      <c r="Q6" s="1"/>
    </row>
    <row r="7" spans="1:21" x14ac:dyDescent="0.25">
      <c r="B7" s="1" t="s">
        <v>9</v>
      </c>
      <c r="C7" s="1" t="s">
        <v>3</v>
      </c>
      <c r="D7" s="1" t="s">
        <v>4</v>
      </c>
      <c r="E7" s="1" t="s">
        <v>5</v>
      </c>
      <c r="F7" s="1" t="s">
        <v>6</v>
      </c>
      <c r="G7" s="1" t="s">
        <v>37</v>
      </c>
      <c r="H7" s="1" t="s">
        <v>16</v>
      </c>
      <c r="I7" s="1" t="s">
        <v>15</v>
      </c>
      <c r="J7" s="1" t="s">
        <v>11</v>
      </c>
      <c r="K7" s="1" t="s">
        <v>273</v>
      </c>
      <c r="L7" s="1"/>
      <c r="M7" s="1"/>
      <c r="N7" s="1"/>
      <c r="O7" s="1"/>
      <c r="P7" s="1"/>
      <c r="Q7" s="1"/>
    </row>
    <row r="8" spans="1:21" x14ac:dyDescent="0.25">
      <c r="B8" s="1" t="s">
        <v>65</v>
      </c>
      <c r="C8" s="1" t="s">
        <v>73</v>
      </c>
      <c r="D8" s="1" t="s">
        <v>74</v>
      </c>
      <c r="E8" s="1" t="s">
        <v>75</v>
      </c>
      <c r="F8" s="1" t="s">
        <v>68</v>
      </c>
      <c r="G8" s="1" t="s">
        <v>70</v>
      </c>
      <c r="H8" s="1" t="s">
        <v>16</v>
      </c>
      <c r="I8" s="1" t="s">
        <v>67</v>
      </c>
      <c r="J8" s="1" t="s">
        <v>15</v>
      </c>
      <c r="K8" s="1" t="s">
        <v>11</v>
      </c>
      <c r="L8" s="1" t="s">
        <v>273</v>
      </c>
      <c r="M8" s="1"/>
      <c r="N8" s="1"/>
      <c r="O8" s="1"/>
    </row>
    <row r="9" spans="1:21" x14ac:dyDescent="0.25">
      <c r="B9" s="1" t="s">
        <v>109</v>
      </c>
    </row>
    <row r="10" spans="1:21" x14ac:dyDescent="0.25">
      <c r="B10" s="1" t="s">
        <v>55</v>
      </c>
      <c r="C10" s="1" t="s">
        <v>57</v>
      </c>
      <c r="D10" s="1" t="s">
        <v>78</v>
      </c>
      <c r="E10" s="1" t="s">
        <v>79</v>
      </c>
      <c r="F10" s="1" t="s">
        <v>80</v>
      </c>
      <c r="G10" s="1" t="s">
        <v>21</v>
      </c>
      <c r="I10" s="1"/>
    </row>
    <row r="11" spans="1:21" x14ac:dyDescent="0.25">
      <c r="B11" s="1" t="s">
        <v>54</v>
      </c>
      <c r="C11" s="1" t="s">
        <v>57</v>
      </c>
      <c r="D11" s="1" t="s">
        <v>73</v>
      </c>
      <c r="E11" s="1" t="s">
        <v>74</v>
      </c>
      <c r="F11" s="1" t="s">
        <v>58</v>
      </c>
      <c r="G11" s="1" t="s">
        <v>56</v>
      </c>
      <c r="H11" s="1" t="s">
        <v>21</v>
      </c>
    </row>
    <row r="12" spans="1:21" x14ac:dyDescent="0.25">
      <c r="A12" s="27"/>
      <c r="B12" s="1" t="s">
        <v>147</v>
      </c>
      <c r="C12" s="1" t="s">
        <v>12</v>
      </c>
      <c r="D12" s="1" t="s">
        <v>122</v>
      </c>
      <c r="E12" s="1" t="s">
        <v>3</v>
      </c>
      <c r="F12" s="1" t="s">
        <v>4</v>
      </c>
      <c r="G12" s="1" t="s">
        <v>5</v>
      </c>
      <c r="H12" s="1" t="s">
        <v>6</v>
      </c>
    </row>
    <row r="13" spans="1:21" x14ac:dyDescent="0.25">
      <c r="B13" s="1" t="s">
        <v>148</v>
      </c>
      <c r="C13" s="1" t="s">
        <v>12</v>
      </c>
      <c r="D13" s="1" t="s">
        <v>2</v>
      </c>
      <c r="E13" s="1" t="s">
        <v>7</v>
      </c>
      <c r="F13" s="1" t="s">
        <v>8</v>
      </c>
      <c r="G13" s="1" t="s">
        <v>123</v>
      </c>
      <c r="H13" s="1"/>
      <c r="I13" s="1" t="s">
        <v>502</v>
      </c>
    </row>
    <row r="14" spans="1:21" x14ac:dyDescent="0.25">
      <c r="B14" s="1" t="s">
        <v>176</v>
      </c>
      <c r="C14" s="1" t="s">
        <v>12</v>
      </c>
      <c r="D14" s="1" t="s">
        <v>37</v>
      </c>
      <c r="E14" s="1" t="s">
        <v>177</v>
      </c>
      <c r="F14" s="1"/>
      <c r="G14" s="45" t="s">
        <v>178</v>
      </c>
      <c r="H14" s="1"/>
      <c r="I14" s="1"/>
    </row>
    <row r="15" spans="1:21" x14ac:dyDescent="0.25">
      <c r="B15" s="1" t="s">
        <v>151</v>
      </c>
      <c r="C15" s="1" t="s">
        <v>12</v>
      </c>
      <c r="D15" s="1" t="s">
        <v>32</v>
      </c>
      <c r="E15" s="1" t="s">
        <v>21</v>
      </c>
      <c r="F15" s="1" t="s">
        <v>13</v>
      </c>
      <c r="J15" s="45" t="s">
        <v>81</v>
      </c>
    </row>
    <row r="16" spans="1:21" x14ac:dyDescent="0.25">
      <c r="B16" s="1" t="s">
        <v>265</v>
      </c>
      <c r="C16" s="1" t="s">
        <v>12</v>
      </c>
      <c r="D16" s="1" t="s">
        <v>21</v>
      </c>
      <c r="E16" s="1" t="s">
        <v>78</v>
      </c>
      <c r="F16" s="1" t="s">
        <v>79</v>
      </c>
      <c r="G16" s="1" t="s">
        <v>80</v>
      </c>
      <c r="H16" s="1" t="s">
        <v>73</v>
      </c>
      <c r="I16" s="1" t="s">
        <v>74</v>
      </c>
      <c r="J16" s="1" t="s">
        <v>58</v>
      </c>
      <c r="K16" s="1" t="s">
        <v>264</v>
      </c>
      <c r="M16" s="53" t="s">
        <v>263</v>
      </c>
      <c r="N16" s="52" t="s">
        <v>262</v>
      </c>
      <c r="O16" s="41" t="s">
        <v>622</v>
      </c>
      <c r="P16" s="41" t="s">
        <v>623</v>
      </c>
    </row>
    <row r="17" spans="1:30" x14ac:dyDescent="0.25">
      <c r="B17" s="1" t="s">
        <v>109</v>
      </c>
      <c r="C17" s="1"/>
      <c r="D17" s="1"/>
      <c r="E17" s="1"/>
      <c r="F17" s="1"/>
      <c r="G17" s="1"/>
      <c r="H17" s="1"/>
      <c r="I17" s="1"/>
    </row>
    <row r="18" spans="1:30" x14ac:dyDescent="0.25">
      <c r="B18" s="1" t="s">
        <v>39</v>
      </c>
      <c r="C18" s="1" t="s">
        <v>61</v>
      </c>
      <c r="D18" s="1" t="s">
        <v>155</v>
      </c>
      <c r="E18" s="1" t="s">
        <v>157</v>
      </c>
      <c r="F18" s="1" t="s">
        <v>156</v>
      </c>
      <c r="G18" s="1"/>
      <c r="H18" s="1"/>
      <c r="I18" s="1"/>
      <c r="J18" s="1"/>
      <c r="K18" s="1"/>
      <c r="L18" s="1"/>
      <c r="M18" s="1"/>
      <c r="N18" s="1"/>
      <c r="O18" s="1"/>
      <c r="P18" s="1"/>
      <c r="Q18" s="1"/>
    </row>
    <row r="19" spans="1:30" x14ac:dyDescent="0.25">
      <c r="B19" s="1" t="s">
        <v>49</v>
      </c>
      <c r="C19" s="1" t="s">
        <v>50</v>
      </c>
      <c r="D19" s="1" t="s">
        <v>51</v>
      </c>
      <c r="E19" s="1" t="s">
        <v>50</v>
      </c>
      <c r="F19" s="1" t="s">
        <v>51</v>
      </c>
      <c r="G19" s="1" t="s">
        <v>50</v>
      </c>
      <c r="H19" s="1" t="s">
        <v>51</v>
      </c>
      <c r="I19" s="1" t="s">
        <v>50</v>
      </c>
      <c r="J19" s="1" t="s">
        <v>51</v>
      </c>
      <c r="K19" s="1" t="s">
        <v>50</v>
      </c>
      <c r="L19" s="1" t="s">
        <v>51</v>
      </c>
      <c r="O19" s="27" t="s">
        <v>340</v>
      </c>
    </row>
    <row r="20" spans="1:30" s="27" customFormat="1" ht="54.75" customHeight="1" x14ac:dyDescent="0.25">
      <c r="B20" s="27" t="s">
        <v>109</v>
      </c>
    </row>
    <row r="21" spans="1:30" ht="132.6" customHeight="1" x14ac:dyDescent="0.25">
      <c r="B21" s="41" t="s">
        <v>52</v>
      </c>
      <c r="C21" s="42" t="s">
        <v>142</v>
      </c>
      <c r="D21" s="42" t="s">
        <v>143</v>
      </c>
      <c r="E21" s="42" t="s">
        <v>144</v>
      </c>
      <c r="F21" s="43" t="s">
        <v>53</v>
      </c>
      <c r="G21" s="118" t="s">
        <v>141</v>
      </c>
      <c r="H21" s="118"/>
      <c r="I21" s="118"/>
      <c r="J21" s="118"/>
      <c r="K21" s="118"/>
      <c r="L21" s="118"/>
      <c r="M21" s="118"/>
      <c r="N21" s="118"/>
      <c r="O21" s="118"/>
      <c r="P21" s="41"/>
      <c r="Q21" s="41"/>
      <c r="R21" s="41"/>
      <c r="S21" s="41"/>
    </row>
    <row r="22" spans="1:30" x14ac:dyDescent="0.25">
      <c r="B22" s="41"/>
      <c r="C22" s="41"/>
      <c r="D22" s="41"/>
      <c r="E22" s="41"/>
      <c r="F22" s="41"/>
      <c r="G22" s="41"/>
      <c r="H22" s="41"/>
      <c r="I22" s="41"/>
      <c r="J22" s="41"/>
      <c r="K22" s="41"/>
      <c r="L22" s="41"/>
      <c r="M22" s="41"/>
      <c r="N22" s="41"/>
      <c r="O22" s="41"/>
      <c r="P22" s="41"/>
      <c r="Q22" s="41"/>
      <c r="R22" s="41"/>
      <c r="S22" s="41"/>
    </row>
    <row r="23" spans="1:30" x14ac:dyDescent="0.25">
      <c r="B23" s="41"/>
      <c r="C23" s="41"/>
      <c r="D23" s="41"/>
      <c r="E23" s="41"/>
      <c r="F23" s="41"/>
      <c r="G23" s="41" t="s">
        <v>15</v>
      </c>
      <c r="H23" s="41" t="s">
        <v>27</v>
      </c>
      <c r="J23" s="44" t="s">
        <v>184</v>
      </c>
      <c r="K23" s="41"/>
      <c r="L23" s="41"/>
      <c r="M23" s="41"/>
      <c r="Q23" s="41"/>
      <c r="R23" s="41"/>
      <c r="S23" s="41"/>
    </row>
    <row r="24" spans="1:30" x14ac:dyDescent="0.25">
      <c r="B24" s="41"/>
      <c r="C24" s="41"/>
      <c r="D24" s="41"/>
      <c r="E24" s="41"/>
      <c r="F24" s="41"/>
      <c r="G24" s="41" t="s">
        <v>24</v>
      </c>
      <c r="H24" s="41" t="s">
        <v>27</v>
      </c>
      <c r="J24" s="44" t="s">
        <v>185</v>
      </c>
      <c r="K24" s="41"/>
      <c r="L24" s="41"/>
      <c r="M24" s="41"/>
      <c r="N24" s="41"/>
      <c r="O24" s="41"/>
      <c r="P24" s="41"/>
      <c r="Q24" s="41"/>
      <c r="R24" s="41"/>
      <c r="S24" s="41"/>
      <c r="AA24" s="41"/>
      <c r="AB24" s="41"/>
      <c r="AC24" s="41"/>
    </row>
    <row r="25" spans="1:30" x14ac:dyDescent="0.25">
      <c r="B25" s="41"/>
      <c r="C25" s="41"/>
      <c r="D25" s="41"/>
      <c r="E25" s="41"/>
      <c r="F25" s="41"/>
      <c r="G25" s="41" t="s">
        <v>11</v>
      </c>
      <c r="H25" s="41" t="s">
        <v>27</v>
      </c>
      <c r="J25" s="41" t="s">
        <v>186</v>
      </c>
      <c r="K25" s="41"/>
      <c r="L25" s="41"/>
      <c r="M25" s="41"/>
      <c r="R25" s="41"/>
      <c r="S25" s="41"/>
      <c r="AC25" s="41"/>
      <c r="AD25" s="41"/>
    </row>
    <row r="26" spans="1:30" x14ac:dyDescent="0.25">
      <c r="B26" s="41"/>
      <c r="C26" s="41"/>
      <c r="D26" s="41"/>
      <c r="E26" s="41"/>
      <c r="F26" s="41"/>
      <c r="G26" s="41" t="s">
        <v>134</v>
      </c>
      <c r="H26" s="41" t="s">
        <v>27</v>
      </c>
      <c r="J26" s="41" t="s">
        <v>187</v>
      </c>
      <c r="K26" s="41"/>
      <c r="L26" s="41"/>
      <c r="M26" s="41"/>
      <c r="N26" s="41"/>
      <c r="O26" s="41"/>
    </row>
    <row r="27" spans="1:30" x14ac:dyDescent="0.25">
      <c r="B27" s="41"/>
      <c r="C27" s="41"/>
      <c r="D27" s="41"/>
      <c r="E27" s="41"/>
      <c r="F27" s="41"/>
      <c r="G27" s="41" t="s">
        <v>133</v>
      </c>
      <c r="H27" s="41" t="s">
        <v>27</v>
      </c>
      <c r="J27" s="41" t="s">
        <v>188</v>
      </c>
      <c r="K27" s="41"/>
      <c r="L27" s="41"/>
      <c r="M27" s="41"/>
      <c r="N27" s="41"/>
    </row>
    <row r="28" spans="1:30" x14ac:dyDescent="0.25">
      <c r="B28" s="41"/>
      <c r="C28" s="41"/>
      <c r="D28" s="41"/>
      <c r="E28" s="41"/>
      <c r="F28" s="41"/>
      <c r="G28" s="41" t="s">
        <v>132</v>
      </c>
      <c r="H28" s="41" t="s">
        <v>27</v>
      </c>
      <c r="J28" s="44" t="s">
        <v>189</v>
      </c>
      <c r="K28" s="41"/>
      <c r="L28" s="41"/>
      <c r="M28" s="41"/>
      <c r="N28" s="41"/>
    </row>
    <row r="29" spans="1:30" x14ac:dyDescent="0.25">
      <c r="A29" s="1"/>
      <c r="B29" s="41"/>
      <c r="C29" s="41"/>
      <c r="D29" s="41"/>
      <c r="E29" s="41"/>
      <c r="F29" s="41"/>
      <c r="G29" s="41" t="s">
        <v>25</v>
      </c>
      <c r="H29" s="41" t="s">
        <v>73</v>
      </c>
      <c r="I29" s="41" t="s">
        <v>74</v>
      </c>
      <c r="J29" s="41" t="s">
        <v>259</v>
      </c>
      <c r="K29" s="41" t="s">
        <v>253</v>
      </c>
      <c r="L29" s="41" t="s">
        <v>116</v>
      </c>
      <c r="M29" s="41" t="s">
        <v>117</v>
      </c>
      <c r="N29" s="41"/>
      <c r="O29" s="45" t="s">
        <v>248</v>
      </c>
    </row>
    <row r="30" spans="1:30" ht="14.45" customHeight="1" x14ac:dyDescent="0.25">
      <c r="A30" s="1"/>
      <c r="B30" s="41"/>
      <c r="C30" s="41"/>
      <c r="D30" s="41"/>
      <c r="E30" s="41"/>
      <c r="F30" s="41"/>
      <c r="G30" s="41" t="s">
        <v>26</v>
      </c>
      <c r="H30" s="41" t="s">
        <v>73</v>
      </c>
      <c r="I30" s="41" t="s">
        <v>74</v>
      </c>
      <c r="J30" s="41" t="s">
        <v>259</v>
      </c>
      <c r="K30" s="41" t="s">
        <v>253</v>
      </c>
      <c r="L30" s="41" t="s">
        <v>116</v>
      </c>
      <c r="M30" s="41" t="s">
        <v>117</v>
      </c>
      <c r="N30" s="41"/>
      <c r="O30" s="45" t="s">
        <v>190</v>
      </c>
      <c r="P30" s="41"/>
    </row>
    <row r="31" spans="1:30" ht="14.45" customHeight="1" x14ac:dyDescent="0.25">
      <c r="B31" s="41"/>
      <c r="C31" s="41"/>
      <c r="D31" s="41"/>
      <c r="E31" s="41"/>
      <c r="F31" s="41"/>
      <c r="G31" s="41" t="s">
        <v>170</v>
      </c>
      <c r="H31" s="41" t="s">
        <v>73</v>
      </c>
      <c r="I31" s="41" t="s">
        <v>74</v>
      </c>
      <c r="J31" s="41" t="s">
        <v>260</v>
      </c>
      <c r="K31" s="41" t="s">
        <v>171</v>
      </c>
      <c r="L31" s="41" t="s">
        <v>258</v>
      </c>
      <c r="M31" s="41" t="s">
        <v>116</v>
      </c>
      <c r="N31" s="41" t="s">
        <v>117</v>
      </c>
      <c r="O31" s="41"/>
      <c r="P31" s="45" t="s">
        <v>249</v>
      </c>
      <c r="R31" s="51" t="s">
        <v>252</v>
      </c>
    </row>
    <row r="32" spans="1:30" ht="14.45" customHeight="1" x14ac:dyDescent="0.25">
      <c r="A32" s="27"/>
      <c r="B32" s="41"/>
      <c r="C32" s="41"/>
      <c r="D32" s="41"/>
      <c r="E32" s="41"/>
      <c r="F32" s="41"/>
      <c r="G32" s="41" t="s">
        <v>29</v>
      </c>
      <c r="H32" s="41" t="s">
        <v>30</v>
      </c>
      <c r="I32" s="41" t="s">
        <v>31</v>
      </c>
      <c r="J32" s="41" t="s">
        <v>98</v>
      </c>
      <c r="K32" s="41" t="s">
        <v>116</v>
      </c>
      <c r="L32" s="41" t="s">
        <v>117</v>
      </c>
      <c r="M32" s="41"/>
      <c r="N32" s="41"/>
      <c r="O32" s="41"/>
      <c r="P32" s="41"/>
      <c r="Q32" s="41"/>
      <c r="R32" s="41"/>
      <c r="S32" s="41"/>
    </row>
    <row r="33" spans="1:21" ht="14.45" customHeight="1" x14ac:dyDescent="0.25">
      <c r="B33" s="41"/>
      <c r="C33" s="41"/>
      <c r="D33" s="41"/>
      <c r="E33" s="41"/>
      <c r="F33" s="41"/>
      <c r="G33" s="41" t="s">
        <v>28</v>
      </c>
      <c r="H33" s="41" t="s">
        <v>30</v>
      </c>
      <c r="I33" s="41" t="s">
        <v>31</v>
      </c>
      <c r="J33" s="41" t="s">
        <v>98</v>
      </c>
      <c r="K33" s="41" t="s">
        <v>116</v>
      </c>
      <c r="L33" s="41" t="s">
        <v>117</v>
      </c>
      <c r="M33" s="41"/>
      <c r="N33" s="41"/>
      <c r="O33" s="41"/>
      <c r="P33" s="41"/>
      <c r="Q33" s="41"/>
      <c r="R33" s="41"/>
      <c r="S33" s="41"/>
    </row>
    <row r="34" spans="1:21" ht="14.45" customHeight="1" x14ac:dyDescent="0.25">
      <c r="B34" s="41"/>
      <c r="C34" s="41"/>
      <c r="D34" s="41"/>
      <c r="E34" s="41"/>
      <c r="F34" s="41"/>
      <c r="G34" s="41" t="s">
        <v>124</v>
      </c>
      <c r="H34" s="41" t="s">
        <v>30</v>
      </c>
      <c r="I34" s="41" t="s">
        <v>31</v>
      </c>
      <c r="J34" s="41" t="s">
        <v>98</v>
      </c>
      <c r="K34" s="41" t="s">
        <v>116</v>
      </c>
      <c r="L34" s="41" t="s">
        <v>117</v>
      </c>
      <c r="M34" s="41"/>
      <c r="O34" s="41"/>
      <c r="P34" s="41"/>
    </row>
    <row r="35" spans="1:21" ht="15" customHeight="1" x14ac:dyDescent="0.25">
      <c r="B35" s="41"/>
      <c r="C35" s="41"/>
      <c r="D35" s="41"/>
      <c r="E35" s="41"/>
      <c r="F35" s="41"/>
      <c r="G35" s="41" t="s">
        <v>138</v>
      </c>
      <c r="H35" s="41" t="s">
        <v>256</v>
      </c>
      <c r="I35" s="41" t="s">
        <v>257</v>
      </c>
      <c r="J35" s="41" t="s">
        <v>258</v>
      </c>
      <c r="K35" s="41" t="s">
        <v>116</v>
      </c>
      <c r="L35" s="41" t="s">
        <v>117</v>
      </c>
      <c r="M35" s="45" t="s">
        <v>149</v>
      </c>
      <c r="Q35" s="51" t="s">
        <v>139</v>
      </c>
      <c r="R35" s="94"/>
      <c r="S35" s="94"/>
      <c r="T35" s="94"/>
      <c r="U35" s="94"/>
    </row>
    <row r="36" spans="1:21" x14ac:dyDescent="0.25">
      <c r="G36" s="41" t="s">
        <v>62</v>
      </c>
      <c r="H36" s="41" t="s">
        <v>63</v>
      </c>
      <c r="I36" s="41" t="s">
        <v>51</v>
      </c>
      <c r="J36" s="41"/>
      <c r="K36" s="41"/>
      <c r="L36" s="41"/>
      <c r="M36" s="44" t="s">
        <v>64</v>
      </c>
      <c r="N36" s="41"/>
      <c r="O36" s="41"/>
      <c r="Q36" s="41"/>
      <c r="R36" s="41"/>
      <c r="S36" s="41"/>
    </row>
    <row r="37" spans="1:21" x14ac:dyDescent="0.25">
      <c r="G37" s="41" t="s">
        <v>60</v>
      </c>
      <c r="H37" s="41" t="s">
        <v>63</v>
      </c>
      <c r="I37" s="41" t="s">
        <v>51</v>
      </c>
      <c r="J37" s="41"/>
      <c r="K37" s="41"/>
      <c r="L37" s="41"/>
      <c r="M37" s="44" t="s">
        <v>64</v>
      </c>
      <c r="N37" s="41"/>
      <c r="O37" s="41"/>
      <c r="P37" s="41"/>
      <c r="Q37" s="41"/>
      <c r="R37" s="41"/>
    </row>
    <row r="38" spans="1:21" x14ac:dyDescent="0.25">
      <c r="G38" s="41" t="s">
        <v>182</v>
      </c>
      <c r="H38" s="41" t="s">
        <v>27</v>
      </c>
      <c r="I38" s="44" t="s">
        <v>183</v>
      </c>
      <c r="P38" s="41"/>
      <c r="S38" s="41"/>
    </row>
    <row r="41" spans="1:21" x14ac:dyDescent="0.25">
      <c r="A41" s="27"/>
    </row>
    <row r="42" spans="1:21" ht="93.75" customHeight="1" x14ac:dyDescent="0.25">
      <c r="B42" s="50" t="s">
        <v>246</v>
      </c>
      <c r="C42" s="50" t="s">
        <v>12</v>
      </c>
      <c r="D42" s="119" t="s">
        <v>247</v>
      </c>
      <c r="E42" s="119"/>
      <c r="F42" s="119"/>
      <c r="G42" s="119"/>
      <c r="H42" s="119"/>
      <c r="I42" s="119"/>
      <c r="J42" s="119"/>
      <c r="K42" s="119"/>
      <c r="L42" s="119"/>
      <c r="M42" s="119"/>
      <c r="N42" s="119"/>
      <c r="O42" s="119"/>
    </row>
    <row r="43" spans="1:21" x14ac:dyDescent="0.25">
      <c r="B43" s="50"/>
      <c r="C43" s="50"/>
      <c r="D43" s="50"/>
      <c r="E43" s="50"/>
      <c r="F43" s="50"/>
      <c r="G43" s="50"/>
      <c r="H43" s="50"/>
      <c r="I43" s="50"/>
      <c r="J43" s="50"/>
      <c r="K43" s="50"/>
      <c r="L43" s="50"/>
      <c r="M43" s="50"/>
      <c r="N43" s="50"/>
      <c r="O43" s="50"/>
    </row>
    <row r="44" spans="1:21" x14ac:dyDescent="0.25">
      <c r="B44" s="50"/>
      <c r="C44" s="50"/>
      <c r="D44" s="50" t="s">
        <v>29</v>
      </c>
      <c r="E44" s="50" t="s">
        <v>30</v>
      </c>
      <c r="F44" s="50" t="s">
        <v>31</v>
      </c>
      <c r="G44" s="50" t="s">
        <v>98</v>
      </c>
      <c r="H44" s="50" t="s">
        <v>116</v>
      </c>
      <c r="I44" s="50" t="s">
        <v>117</v>
      </c>
      <c r="J44" s="50"/>
      <c r="K44" s="50"/>
      <c r="L44" s="50"/>
      <c r="M44" s="50"/>
      <c r="N44" s="50"/>
      <c r="O44" s="50"/>
    </row>
    <row r="45" spans="1:21" ht="15" customHeight="1" x14ac:dyDescent="0.25">
      <c r="B45" s="50"/>
      <c r="C45" s="50"/>
      <c r="D45" s="50" t="s">
        <v>138</v>
      </c>
      <c r="E45" s="50" t="s">
        <v>93</v>
      </c>
      <c r="F45" s="50" t="s">
        <v>94</v>
      </c>
      <c r="G45" s="50" t="s">
        <v>95</v>
      </c>
      <c r="H45" s="50" t="s">
        <v>116</v>
      </c>
      <c r="I45" s="50" t="s">
        <v>117</v>
      </c>
      <c r="J45" s="50"/>
      <c r="K45" s="50"/>
      <c r="L45" s="50"/>
      <c r="M45" s="110" t="s">
        <v>149</v>
      </c>
      <c r="P45" s="51" t="s">
        <v>619</v>
      </c>
      <c r="Q45" s="94"/>
      <c r="R45" s="94"/>
      <c r="S45" s="94"/>
      <c r="T45" s="94"/>
    </row>
    <row r="46" spans="1:21" x14ac:dyDescent="0.25">
      <c r="B46" s="50"/>
      <c r="C46" s="50"/>
      <c r="D46" s="50" t="s">
        <v>25</v>
      </c>
      <c r="E46" s="50" t="s">
        <v>73</v>
      </c>
      <c r="F46" s="50" t="s">
        <v>74</v>
      </c>
      <c r="G46" s="50" t="s">
        <v>254</v>
      </c>
      <c r="H46" s="50" t="s">
        <v>253</v>
      </c>
      <c r="I46" s="50" t="s">
        <v>116</v>
      </c>
      <c r="J46" s="50" t="s">
        <v>117</v>
      </c>
      <c r="K46" s="50"/>
      <c r="L46" s="50"/>
      <c r="M46" s="50"/>
      <c r="N46" s="50"/>
      <c r="O46" s="44" t="s">
        <v>248</v>
      </c>
    </row>
    <row r="47" spans="1:21" ht="14.45" customHeight="1" x14ac:dyDescent="0.25">
      <c r="B47" s="50"/>
      <c r="C47" s="50"/>
      <c r="D47" s="50" t="s">
        <v>170</v>
      </c>
      <c r="E47" s="50" t="s">
        <v>73</v>
      </c>
      <c r="F47" s="50" t="s">
        <v>74</v>
      </c>
      <c r="G47" s="50" t="s">
        <v>255</v>
      </c>
      <c r="H47" s="50" t="s">
        <v>171</v>
      </c>
      <c r="I47" s="50" t="s">
        <v>258</v>
      </c>
      <c r="J47" s="50" t="s">
        <v>116</v>
      </c>
      <c r="K47" s="50" t="s">
        <v>117</v>
      </c>
      <c r="L47" s="50"/>
      <c r="M47" s="50"/>
      <c r="N47" s="50"/>
      <c r="O47" s="44" t="s">
        <v>249</v>
      </c>
      <c r="P47" s="51" t="s">
        <v>618</v>
      </c>
    </row>
    <row r="48" spans="1:21" x14ac:dyDescent="0.25">
      <c r="B48" s="50"/>
      <c r="C48" s="50"/>
      <c r="D48" s="50"/>
      <c r="E48" s="50"/>
      <c r="F48" s="50"/>
      <c r="G48" s="50"/>
      <c r="H48" s="50"/>
      <c r="I48" s="50"/>
      <c r="J48" s="50"/>
      <c r="K48" s="50"/>
      <c r="L48" s="50"/>
      <c r="M48" s="50"/>
      <c r="N48" s="50"/>
      <c r="O48" s="50"/>
    </row>
    <row r="49" spans="2:15" x14ac:dyDescent="0.25">
      <c r="B49" s="50"/>
      <c r="C49" s="50"/>
      <c r="D49" s="50"/>
      <c r="E49" s="50"/>
      <c r="F49" s="50"/>
      <c r="G49" s="50"/>
      <c r="H49" s="50"/>
      <c r="I49" s="50"/>
      <c r="J49" s="50"/>
      <c r="K49" s="50"/>
      <c r="L49" s="50"/>
      <c r="M49" s="50"/>
      <c r="N49" s="50"/>
      <c r="O49" s="50"/>
    </row>
    <row r="50" spans="2:15" x14ac:dyDescent="0.25">
      <c r="B50" s="50"/>
      <c r="C50" s="50"/>
      <c r="D50" s="50"/>
      <c r="E50" s="50"/>
      <c r="F50" s="50"/>
      <c r="G50" s="50"/>
      <c r="H50" s="50"/>
      <c r="I50" s="50"/>
      <c r="J50" s="50"/>
      <c r="K50" s="50"/>
      <c r="L50" s="50"/>
      <c r="M50" s="50"/>
      <c r="N50" s="50"/>
      <c r="O50" s="50"/>
    </row>
    <row r="51" spans="2:15" x14ac:dyDescent="0.25">
      <c r="B51" s="50"/>
      <c r="C51" s="50"/>
      <c r="D51" s="50"/>
      <c r="E51" s="50"/>
      <c r="F51" s="50"/>
      <c r="G51" s="50"/>
      <c r="H51" s="50"/>
      <c r="I51" s="50"/>
      <c r="J51" s="50"/>
      <c r="K51" s="50"/>
      <c r="L51" s="50"/>
      <c r="M51" s="50"/>
      <c r="N51" s="50"/>
      <c r="O51" s="50"/>
    </row>
    <row r="52" spans="2:15" x14ac:dyDescent="0.25">
      <c r="B52" s="50"/>
      <c r="C52" s="50"/>
      <c r="D52" s="50"/>
      <c r="E52" s="50"/>
      <c r="F52" s="50"/>
      <c r="G52" s="50"/>
      <c r="H52" s="50"/>
      <c r="I52" s="50"/>
      <c r="J52" s="50"/>
      <c r="K52" s="50"/>
      <c r="L52" s="50"/>
      <c r="M52" s="50"/>
      <c r="N52" s="50"/>
      <c r="O52" s="50"/>
    </row>
    <row r="54" spans="2:15" x14ac:dyDescent="0.25">
      <c r="B54" s="50"/>
      <c r="C54" s="50"/>
      <c r="D54" s="50"/>
      <c r="E54" s="50"/>
      <c r="F54" s="50"/>
      <c r="G54" s="50"/>
      <c r="H54" s="50"/>
      <c r="I54" s="50"/>
      <c r="J54" s="50"/>
      <c r="K54" s="50"/>
      <c r="L54" s="50"/>
      <c r="M54" s="50"/>
      <c r="N54" s="50"/>
      <c r="O54" s="50"/>
    </row>
    <row r="55" spans="2:15" x14ac:dyDescent="0.25">
      <c r="B55" s="50"/>
      <c r="C55" s="50"/>
      <c r="D55" s="50"/>
      <c r="E55" s="50"/>
      <c r="F55" s="50"/>
      <c r="G55" s="50"/>
      <c r="H55" s="50"/>
      <c r="I55" s="50"/>
      <c r="J55" s="50"/>
      <c r="K55" s="50"/>
      <c r="L55" s="50"/>
      <c r="M55" s="50"/>
      <c r="N55" s="50"/>
      <c r="O55" s="50"/>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44"/>
  <sheetViews>
    <sheetView zoomScale="75" zoomScaleNormal="85" workbookViewId="0">
      <selection activeCell="O1" sqref="O1:O44"/>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48"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48" t="s">
        <v>135</v>
      </c>
      <c r="P1" t="s">
        <v>36</v>
      </c>
    </row>
    <row r="2" spans="1:17" x14ac:dyDescent="0.25">
      <c r="A2" t="s">
        <v>49</v>
      </c>
      <c r="B2" t="s">
        <v>793</v>
      </c>
      <c r="N2">
        <v>1</v>
      </c>
      <c r="O2" s="48" t="s">
        <v>290</v>
      </c>
      <c r="P2" t="s">
        <v>731</v>
      </c>
      <c r="Q2" t="s">
        <v>793</v>
      </c>
    </row>
    <row r="3" spans="1:17" x14ac:dyDescent="0.25">
      <c r="A3" t="s">
        <v>23</v>
      </c>
      <c r="B3">
        <v>274</v>
      </c>
      <c r="C3">
        <v>125</v>
      </c>
      <c r="D3">
        <v>2.7</v>
      </c>
      <c r="E3">
        <v>274</v>
      </c>
      <c r="F3">
        <v>125</v>
      </c>
      <c r="G3">
        <v>0</v>
      </c>
      <c r="H3">
        <v>0</v>
      </c>
      <c r="I3">
        <v>0</v>
      </c>
      <c r="K3">
        <v>3000</v>
      </c>
      <c r="N3">
        <v>0</v>
      </c>
      <c r="O3" s="48">
        <v>0</v>
      </c>
      <c r="P3" t="s">
        <v>659</v>
      </c>
      <c r="Q3" t="s">
        <v>802</v>
      </c>
    </row>
    <row r="4" spans="1:17" x14ac:dyDescent="0.25">
      <c r="A4" t="s">
        <v>19</v>
      </c>
      <c r="B4">
        <v>274</v>
      </c>
      <c r="C4">
        <v>125</v>
      </c>
      <c r="D4">
        <v>0</v>
      </c>
      <c r="E4">
        <v>275</v>
      </c>
      <c r="F4">
        <v>100</v>
      </c>
      <c r="G4">
        <v>0</v>
      </c>
      <c r="H4">
        <v>3.75</v>
      </c>
      <c r="I4">
        <v>3.42</v>
      </c>
      <c r="J4">
        <v>0.25534930277747642</v>
      </c>
      <c r="K4">
        <v>500</v>
      </c>
      <c r="L4">
        <v>0</v>
      </c>
      <c r="N4">
        <v>2</v>
      </c>
      <c r="O4" s="48" t="s">
        <v>689</v>
      </c>
      <c r="P4" t="s">
        <v>688</v>
      </c>
      <c r="Q4" t="s">
        <v>829</v>
      </c>
    </row>
    <row r="5" spans="1:17" x14ac:dyDescent="0.25">
      <c r="A5" t="s">
        <v>19</v>
      </c>
      <c r="B5">
        <v>275</v>
      </c>
      <c r="C5">
        <v>100</v>
      </c>
      <c r="D5">
        <v>0</v>
      </c>
      <c r="E5">
        <v>225</v>
      </c>
      <c r="F5">
        <v>100</v>
      </c>
      <c r="G5">
        <v>0</v>
      </c>
      <c r="H5">
        <v>3.75</v>
      </c>
      <c r="I5">
        <v>3.42</v>
      </c>
      <c r="J5">
        <v>0.51029053628838994</v>
      </c>
      <c r="K5">
        <v>500</v>
      </c>
      <c r="L5">
        <v>0</v>
      </c>
      <c r="N5">
        <v>3</v>
      </c>
      <c r="O5" s="48" t="s">
        <v>691</v>
      </c>
      <c r="P5" t="s">
        <v>690</v>
      </c>
      <c r="Q5" t="s">
        <v>848</v>
      </c>
    </row>
    <row r="6" spans="1:17" x14ac:dyDescent="0.25">
      <c r="A6" t="s">
        <v>19</v>
      </c>
      <c r="B6">
        <v>225</v>
      </c>
      <c r="C6">
        <v>100</v>
      </c>
      <c r="D6">
        <v>0</v>
      </c>
      <c r="E6">
        <v>225</v>
      </c>
      <c r="F6">
        <v>96</v>
      </c>
      <c r="G6">
        <v>0</v>
      </c>
      <c r="H6">
        <v>3.75</v>
      </c>
      <c r="I6">
        <v>3.42</v>
      </c>
      <c r="J6">
        <v>4.0823242903071197E-2</v>
      </c>
      <c r="K6">
        <v>500</v>
      </c>
      <c r="L6">
        <v>0</v>
      </c>
      <c r="N6">
        <v>4</v>
      </c>
      <c r="O6" s="48" t="s">
        <v>663</v>
      </c>
      <c r="P6" t="s">
        <v>692</v>
      </c>
      <c r="Q6" t="s">
        <v>830</v>
      </c>
    </row>
    <row r="7" spans="1:17" x14ac:dyDescent="0.25">
      <c r="A7" t="s">
        <v>19</v>
      </c>
      <c r="B7">
        <v>225</v>
      </c>
      <c r="C7">
        <v>96</v>
      </c>
      <c r="D7">
        <v>0</v>
      </c>
      <c r="E7">
        <v>275</v>
      </c>
      <c r="F7">
        <v>96</v>
      </c>
      <c r="G7">
        <v>0</v>
      </c>
      <c r="H7">
        <v>3.75</v>
      </c>
      <c r="I7">
        <v>3.42</v>
      </c>
      <c r="J7">
        <v>0.51029053628838994</v>
      </c>
      <c r="K7">
        <v>500</v>
      </c>
      <c r="L7">
        <v>0</v>
      </c>
      <c r="N7">
        <v>5</v>
      </c>
      <c r="O7" s="48" t="s">
        <v>695</v>
      </c>
      <c r="P7" t="s">
        <v>716</v>
      </c>
      <c r="Q7" t="s">
        <v>849</v>
      </c>
    </row>
    <row r="8" spans="1:17" x14ac:dyDescent="0.25">
      <c r="A8" t="s">
        <v>19</v>
      </c>
      <c r="B8">
        <v>275</v>
      </c>
      <c r="C8">
        <v>96</v>
      </c>
      <c r="D8">
        <v>0</v>
      </c>
      <c r="E8">
        <v>275</v>
      </c>
      <c r="F8">
        <v>92</v>
      </c>
      <c r="G8">
        <v>0</v>
      </c>
      <c r="H8">
        <v>3.75</v>
      </c>
      <c r="I8">
        <v>3.42</v>
      </c>
      <c r="J8">
        <v>4.0823242903071197E-2</v>
      </c>
      <c r="K8">
        <v>500</v>
      </c>
      <c r="L8">
        <v>0</v>
      </c>
      <c r="N8">
        <v>6</v>
      </c>
      <c r="O8" s="48" t="s">
        <v>664</v>
      </c>
      <c r="P8" t="s">
        <v>717</v>
      </c>
      <c r="Q8" t="s">
        <v>831</v>
      </c>
    </row>
    <row r="9" spans="1:17" x14ac:dyDescent="0.25">
      <c r="A9" t="s">
        <v>19</v>
      </c>
      <c r="B9">
        <v>275</v>
      </c>
      <c r="C9">
        <v>92</v>
      </c>
      <c r="D9">
        <v>0</v>
      </c>
      <c r="E9">
        <v>225</v>
      </c>
      <c r="F9">
        <v>92</v>
      </c>
      <c r="G9">
        <v>0</v>
      </c>
      <c r="H9">
        <v>3.75</v>
      </c>
      <c r="I9">
        <v>3.42</v>
      </c>
      <c r="J9">
        <v>0.51029053628838994</v>
      </c>
      <c r="K9">
        <v>500</v>
      </c>
      <c r="L9">
        <v>0</v>
      </c>
      <c r="N9">
        <v>7</v>
      </c>
      <c r="O9" s="48" t="s">
        <v>718</v>
      </c>
      <c r="P9" t="s">
        <v>719</v>
      </c>
      <c r="Q9" t="s">
        <v>848</v>
      </c>
    </row>
    <row r="10" spans="1:17" x14ac:dyDescent="0.25">
      <c r="A10" t="s">
        <v>19</v>
      </c>
      <c r="B10">
        <v>225</v>
      </c>
      <c r="C10">
        <v>92</v>
      </c>
      <c r="D10">
        <v>0</v>
      </c>
      <c r="E10">
        <v>225</v>
      </c>
      <c r="F10">
        <v>88</v>
      </c>
      <c r="G10">
        <v>0</v>
      </c>
      <c r="H10">
        <v>3.75</v>
      </c>
      <c r="I10">
        <v>3.42</v>
      </c>
      <c r="J10">
        <v>4.0823242903071197E-2</v>
      </c>
      <c r="K10">
        <v>500</v>
      </c>
      <c r="L10">
        <v>0</v>
      </c>
      <c r="N10">
        <v>7</v>
      </c>
      <c r="O10" s="48" t="s">
        <v>720</v>
      </c>
      <c r="P10" t="s">
        <v>721</v>
      </c>
      <c r="Q10" t="s">
        <v>832</v>
      </c>
    </row>
    <row r="11" spans="1:17" x14ac:dyDescent="0.25">
      <c r="A11" t="s">
        <v>19</v>
      </c>
      <c r="B11">
        <v>225</v>
      </c>
      <c r="C11">
        <v>88</v>
      </c>
      <c r="D11">
        <v>0</v>
      </c>
      <c r="E11">
        <v>275</v>
      </c>
      <c r="F11">
        <v>88</v>
      </c>
      <c r="G11">
        <v>0</v>
      </c>
      <c r="H11">
        <v>3.75</v>
      </c>
      <c r="I11">
        <v>3.42</v>
      </c>
      <c r="J11">
        <v>0.51029053628838994</v>
      </c>
      <c r="K11">
        <v>500</v>
      </c>
      <c r="L11">
        <v>0</v>
      </c>
      <c r="N11">
        <v>7</v>
      </c>
      <c r="O11" s="48" t="s">
        <v>722</v>
      </c>
      <c r="P11" t="s">
        <v>723</v>
      </c>
      <c r="Q11" t="s">
        <v>849</v>
      </c>
    </row>
    <row r="12" spans="1:17" x14ac:dyDescent="0.25">
      <c r="A12" t="s">
        <v>19</v>
      </c>
      <c r="B12">
        <v>275</v>
      </c>
      <c r="C12">
        <v>88</v>
      </c>
      <c r="D12">
        <v>0</v>
      </c>
      <c r="E12">
        <v>275</v>
      </c>
      <c r="F12">
        <v>84</v>
      </c>
      <c r="G12">
        <v>0</v>
      </c>
      <c r="H12">
        <v>3.75</v>
      </c>
      <c r="I12">
        <v>3.42</v>
      </c>
      <c r="J12">
        <v>4.0823242903071197E-2</v>
      </c>
      <c r="K12">
        <v>500</v>
      </c>
      <c r="L12">
        <v>0</v>
      </c>
      <c r="N12">
        <v>7</v>
      </c>
      <c r="O12" s="48" t="s">
        <v>724</v>
      </c>
      <c r="P12" t="s">
        <v>725</v>
      </c>
      <c r="Q12" t="s">
        <v>833</v>
      </c>
    </row>
    <row r="13" spans="1:17" x14ac:dyDescent="0.25">
      <c r="A13" t="s">
        <v>19</v>
      </c>
      <c r="B13">
        <v>275</v>
      </c>
      <c r="C13">
        <v>84</v>
      </c>
      <c r="D13">
        <v>0</v>
      </c>
      <c r="E13">
        <v>225</v>
      </c>
      <c r="F13">
        <v>84</v>
      </c>
      <c r="G13">
        <v>0</v>
      </c>
      <c r="H13">
        <v>3.75</v>
      </c>
      <c r="I13">
        <v>3.42</v>
      </c>
      <c r="J13">
        <v>0.51029053628838994</v>
      </c>
      <c r="K13">
        <v>500</v>
      </c>
      <c r="L13">
        <v>0</v>
      </c>
      <c r="N13">
        <v>7</v>
      </c>
      <c r="O13" s="48" t="s">
        <v>726</v>
      </c>
      <c r="P13" t="s">
        <v>719</v>
      </c>
      <c r="Q13" t="s">
        <v>848</v>
      </c>
    </row>
    <row r="14" spans="1:17" x14ac:dyDescent="0.25">
      <c r="A14" t="s">
        <v>19</v>
      </c>
      <c r="B14">
        <v>225</v>
      </c>
      <c r="C14">
        <v>84</v>
      </c>
      <c r="D14">
        <v>0</v>
      </c>
      <c r="E14">
        <v>225</v>
      </c>
      <c r="F14">
        <v>80</v>
      </c>
      <c r="G14">
        <v>0</v>
      </c>
      <c r="H14">
        <v>3.75</v>
      </c>
      <c r="I14">
        <v>3.42</v>
      </c>
      <c r="J14">
        <v>4.0823242903071197E-2</v>
      </c>
      <c r="K14">
        <v>500</v>
      </c>
      <c r="L14">
        <v>0</v>
      </c>
      <c r="N14">
        <v>7</v>
      </c>
      <c r="O14" s="48" t="s">
        <v>727</v>
      </c>
      <c r="P14" t="s">
        <v>721</v>
      </c>
      <c r="Q14" t="s">
        <v>834</v>
      </c>
    </row>
    <row r="15" spans="1:17" x14ac:dyDescent="0.25">
      <c r="A15" t="s">
        <v>19</v>
      </c>
      <c r="B15">
        <v>225</v>
      </c>
      <c r="C15">
        <v>80</v>
      </c>
      <c r="D15">
        <v>0</v>
      </c>
      <c r="E15">
        <v>275</v>
      </c>
      <c r="F15">
        <v>80</v>
      </c>
      <c r="G15">
        <v>0</v>
      </c>
      <c r="H15">
        <v>3.75</v>
      </c>
      <c r="I15">
        <v>3.42</v>
      </c>
      <c r="J15">
        <v>0.51029053628838994</v>
      </c>
      <c r="K15">
        <v>500</v>
      </c>
      <c r="L15">
        <v>0</v>
      </c>
      <c r="N15">
        <v>7</v>
      </c>
      <c r="O15" s="48" t="s">
        <v>728</v>
      </c>
      <c r="P15" t="s">
        <v>723</v>
      </c>
      <c r="Q15" t="s">
        <v>849</v>
      </c>
    </row>
    <row r="16" spans="1:17" x14ac:dyDescent="0.25">
      <c r="A16" t="s">
        <v>19</v>
      </c>
      <c r="B16">
        <v>275</v>
      </c>
      <c r="C16">
        <v>80</v>
      </c>
      <c r="D16">
        <v>0</v>
      </c>
      <c r="E16">
        <v>275</v>
      </c>
      <c r="F16">
        <v>76</v>
      </c>
      <c r="G16">
        <v>0</v>
      </c>
      <c r="H16">
        <v>3.75</v>
      </c>
      <c r="I16">
        <v>3.42</v>
      </c>
      <c r="J16">
        <v>4.0823242903071197E-2</v>
      </c>
      <c r="K16">
        <v>500</v>
      </c>
      <c r="L16">
        <v>0</v>
      </c>
      <c r="N16">
        <v>7</v>
      </c>
      <c r="O16" s="48" t="s">
        <v>729</v>
      </c>
      <c r="P16" t="s">
        <v>725</v>
      </c>
      <c r="Q16" t="s">
        <v>835</v>
      </c>
    </row>
    <row r="17" spans="1:17" x14ac:dyDescent="0.25">
      <c r="A17" t="s">
        <v>19</v>
      </c>
      <c r="B17">
        <v>275</v>
      </c>
      <c r="C17">
        <v>76</v>
      </c>
      <c r="D17">
        <v>0</v>
      </c>
      <c r="E17">
        <v>225</v>
      </c>
      <c r="F17">
        <v>76</v>
      </c>
      <c r="G17">
        <v>0</v>
      </c>
      <c r="H17">
        <v>3.75</v>
      </c>
      <c r="I17">
        <v>3.42</v>
      </c>
      <c r="J17">
        <v>0.51029053628838994</v>
      </c>
      <c r="K17">
        <v>500</v>
      </c>
      <c r="L17">
        <v>0</v>
      </c>
      <c r="N17">
        <v>7</v>
      </c>
      <c r="O17" s="48" t="s">
        <v>797</v>
      </c>
      <c r="P17" t="s">
        <v>719</v>
      </c>
      <c r="Q17" t="s">
        <v>848</v>
      </c>
    </row>
    <row r="18" spans="1:17" x14ac:dyDescent="0.25">
      <c r="A18" t="s">
        <v>19</v>
      </c>
      <c r="B18">
        <v>225</v>
      </c>
      <c r="C18">
        <v>76</v>
      </c>
      <c r="D18">
        <v>0</v>
      </c>
      <c r="E18">
        <v>225</v>
      </c>
      <c r="F18">
        <v>72</v>
      </c>
      <c r="G18">
        <v>0</v>
      </c>
      <c r="H18">
        <v>3.75</v>
      </c>
      <c r="I18">
        <v>3.42</v>
      </c>
      <c r="J18">
        <v>4.0823242903071197E-2</v>
      </c>
      <c r="K18">
        <v>500</v>
      </c>
      <c r="L18">
        <v>0</v>
      </c>
      <c r="N18">
        <v>7</v>
      </c>
      <c r="O18" s="48" t="s">
        <v>798</v>
      </c>
      <c r="P18" t="s">
        <v>721</v>
      </c>
      <c r="Q18" t="s">
        <v>836</v>
      </c>
    </row>
    <row r="19" spans="1:17" x14ac:dyDescent="0.25">
      <c r="A19" t="s">
        <v>19</v>
      </c>
      <c r="B19">
        <v>225</v>
      </c>
      <c r="C19">
        <v>72</v>
      </c>
      <c r="D19">
        <v>0</v>
      </c>
      <c r="E19">
        <v>275</v>
      </c>
      <c r="F19">
        <v>72</v>
      </c>
      <c r="G19">
        <v>0</v>
      </c>
      <c r="H19">
        <v>3.75</v>
      </c>
      <c r="I19">
        <v>3.42</v>
      </c>
      <c r="J19">
        <v>0.51029053628838994</v>
      </c>
      <c r="K19">
        <v>500</v>
      </c>
      <c r="L19">
        <v>0</v>
      </c>
      <c r="N19">
        <v>7</v>
      </c>
      <c r="O19" s="48" t="s">
        <v>799</v>
      </c>
      <c r="P19" t="s">
        <v>723</v>
      </c>
      <c r="Q19" t="s">
        <v>849</v>
      </c>
    </row>
    <row r="20" spans="1:17" x14ac:dyDescent="0.25">
      <c r="A20" t="s">
        <v>19</v>
      </c>
      <c r="B20">
        <v>275</v>
      </c>
      <c r="C20">
        <v>72</v>
      </c>
      <c r="D20">
        <v>0</v>
      </c>
      <c r="E20">
        <v>275</v>
      </c>
      <c r="F20">
        <v>68</v>
      </c>
      <c r="G20">
        <v>0</v>
      </c>
      <c r="H20">
        <v>3.75</v>
      </c>
      <c r="I20">
        <v>3.42</v>
      </c>
      <c r="J20">
        <v>4.0823242903071197E-2</v>
      </c>
      <c r="K20">
        <v>500</v>
      </c>
      <c r="L20">
        <v>0</v>
      </c>
      <c r="N20">
        <v>7</v>
      </c>
      <c r="O20" s="48" t="s">
        <v>800</v>
      </c>
      <c r="P20" t="s">
        <v>725</v>
      </c>
      <c r="Q20" t="s">
        <v>837</v>
      </c>
    </row>
    <row r="21" spans="1:17" x14ac:dyDescent="0.25">
      <c r="A21" t="s">
        <v>39</v>
      </c>
      <c r="B21">
        <v>0</v>
      </c>
      <c r="C21">
        <v>0</v>
      </c>
      <c r="N21">
        <v>9</v>
      </c>
      <c r="O21" s="48" t="s">
        <v>730</v>
      </c>
      <c r="P21" t="s">
        <v>806</v>
      </c>
      <c r="Q21" t="s">
        <v>807</v>
      </c>
    </row>
    <row r="22" spans="1:17" x14ac:dyDescent="0.25">
      <c r="A22" t="s">
        <v>808</v>
      </c>
      <c r="B22">
        <v>2.7</v>
      </c>
      <c r="C22">
        <v>6000</v>
      </c>
      <c r="N22">
        <v>9</v>
      </c>
      <c r="O22" s="48" t="s">
        <v>730</v>
      </c>
      <c r="P22" t="s">
        <v>806</v>
      </c>
      <c r="Q22" t="s">
        <v>825</v>
      </c>
    </row>
    <row r="23" spans="1:17" x14ac:dyDescent="0.25">
      <c r="A23" t="s">
        <v>23</v>
      </c>
      <c r="B23">
        <v>275</v>
      </c>
      <c r="C23">
        <v>68</v>
      </c>
      <c r="D23">
        <v>0</v>
      </c>
      <c r="E23">
        <v>275</v>
      </c>
      <c r="F23">
        <v>68</v>
      </c>
      <c r="G23">
        <v>2.7</v>
      </c>
      <c r="H23">
        <v>0</v>
      </c>
      <c r="I23">
        <v>0</v>
      </c>
      <c r="K23">
        <v>3000</v>
      </c>
      <c r="N23">
        <v>0</v>
      </c>
      <c r="O23" s="48">
        <v>0</v>
      </c>
      <c r="P23" t="s">
        <v>659</v>
      </c>
      <c r="Q23" t="s">
        <v>826</v>
      </c>
    </row>
    <row r="24" spans="1:17" x14ac:dyDescent="0.25">
      <c r="A24" t="s">
        <v>19</v>
      </c>
      <c r="B24">
        <v>275</v>
      </c>
      <c r="C24">
        <v>68</v>
      </c>
      <c r="D24">
        <v>2.7</v>
      </c>
      <c r="E24">
        <v>275</v>
      </c>
      <c r="F24">
        <v>72</v>
      </c>
      <c r="G24">
        <v>2.7</v>
      </c>
      <c r="H24">
        <v>3.75</v>
      </c>
      <c r="I24">
        <v>3.42</v>
      </c>
      <c r="J24">
        <v>4.0823242903071197E-2</v>
      </c>
      <c r="K24">
        <v>500</v>
      </c>
      <c r="L24">
        <v>0</v>
      </c>
      <c r="N24">
        <v>10</v>
      </c>
      <c r="O24" s="48" t="s">
        <v>685</v>
      </c>
      <c r="P24" t="s">
        <v>732</v>
      </c>
      <c r="Q24" t="s">
        <v>838</v>
      </c>
    </row>
    <row r="25" spans="1:17" x14ac:dyDescent="0.25">
      <c r="A25" t="s">
        <v>19</v>
      </c>
      <c r="B25">
        <v>275</v>
      </c>
      <c r="C25">
        <v>72</v>
      </c>
      <c r="D25">
        <v>2.7</v>
      </c>
      <c r="E25">
        <v>225</v>
      </c>
      <c r="F25">
        <v>72</v>
      </c>
      <c r="G25">
        <v>2.7</v>
      </c>
      <c r="H25">
        <v>3.75</v>
      </c>
      <c r="I25">
        <v>3.42</v>
      </c>
      <c r="J25">
        <v>0.51029053628838994</v>
      </c>
      <c r="K25">
        <v>500</v>
      </c>
      <c r="L25">
        <v>0</v>
      </c>
      <c r="N25">
        <v>11</v>
      </c>
      <c r="O25" s="48" t="s">
        <v>733</v>
      </c>
      <c r="P25" t="s">
        <v>734</v>
      </c>
      <c r="Q25" t="s">
        <v>848</v>
      </c>
    </row>
    <row r="26" spans="1:17" x14ac:dyDescent="0.25">
      <c r="A26" t="s">
        <v>19</v>
      </c>
      <c r="B26">
        <v>225</v>
      </c>
      <c r="C26">
        <v>72</v>
      </c>
      <c r="D26">
        <v>2.7</v>
      </c>
      <c r="E26">
        <v>225</v>
      </c>
      <c r="F26">
        <v>76</v>
      </c>
      <c r="G26">
        <v>2.7</v>
      </c>
      <c r="H26">
        <v>3.75</v>
      </c>
      <c r="I26">
        <v>3.42</v>
      </c>
      <c r="J26">
        <v>4.0823242903071197E-2</v>
      </c>
      <c r="K26">
        <v>500</v>
      </c>
      <c r="L26">
        <v>0</v>
      </c>
      <c r="N26">
        <v>12</v>
      </c>
      <c r="O26" s="48" t="s">
        <v>686</v>
      </c>
      <c r="P26" t="s">
        <v>735</v>
      </c>
      <c r="Q26" t="s">
        <v>835</v>
      </c>
    </row>
    <row r="27" spans="1:17" x14ac:dyDescent="0.25">
      <c r="A27" t="s">
        <v>19</v>
      </c>
      <c r="B27">
        <v>225</v>
      </c>
      <c r="C27">
        <v>76</v>
      </c>
      <c r="D27">
        <v>2.7</v>
      </c>
      <c r="E27">
        <v>275</v>
      </c>
      <c r="F27">
        <v>76</v>
      </c>
      <c r="G27">
        <v>2.7</v>
      </c>
      <c r="H27">
        <v>3.75</v>
      </c>
      <c r="I27">
        <v>3.42</v>
      </c>
      <c r="J27">
        <v>0.51029053628838994</v>
      </c>
      <c r="K27">
        <v>500</v>
      </c>
      <c r="L27">
        <v>0</v>
      </c>
      <c r="N27">
        <v>13</v>
      </c>
      <c r="O27" s="48" t="s">
        <v>736</v>
      </c>
      <c r="P27" t="s">
        <v>737</v>
      </c>
      <c r="Q27" t="s">
        <v>849</v>
      </c>
    </row>
    <row r="28" spans="1:17" x14ac:dyDescent="0.25">
      <c r="A28" t="s">
        <v>19</v>
      </c>
      <c r="B28">
        <v>275</v>
      </c>
      <c r="C28">
        <v>76</v>
      </c>
      <c r="D28">
        <v>2.7</v>
      </c>
      <c r="E28">
        <v>275</v>
      </c>
      <c r="F28">
        <v>80</v>
      </c>
      <c r="G28">
        <v>2.7</v>
      </c>
      <c r="H28">
        <v>3.75</v>
      </c>
      <c r="I28">
        <v>3.42</v>
      </c>
      <c r="J28">
        <v>4.0823242903071197E-2</v>
      </c>
      <c r="K28">
        <v>500</v>
      </c>
      <c r="L28">
        <v>0</v>
      </c>
      <c r="N28">
        <v>14</v>
      </c>
      <c r="O28" s="48" t="s">
        <v>813</v>
      </c>
      <c r="P28" t="s">
        <v>809</v>
      </c>
      <c r="Q28" t="s">
        <v>834</v>
      </c>
    </row>
    <row r="29" spans="1:17" x14ac:dyDescent="0.25">
      <c r="A29" t="s">
        <v>19</v>
      </c>
      <c r="B29">
        <v>275</v>
      </c>
      <c r="C29">
        <v>80</v>
      </c>
      <c r="D29">
        <v>2.7</v>
      </c>
      <c r="E29">
        <v>225</v>
      </c>
      <c r="F29">
        <v>80</v>
      </c>
      <c r="G29">
        <v>2.7</v>
      </c>
      <c r="H29">
        <v>3.75</v>
      </c>
      <c r="I29">
        <v>3.42</v>
      </c>
      <c r="J29">
        <v>0.51029053628838994</v>
      </c>
      <c r="K29">
        <v>500</v>
      </c>
      <c r="L29">
        <v>0</v>
      </c>
      <c r="N29">
        <v>14</v>
      </c>
      <c r="O29" s="48" t="s">
        <v>814</v>
      </c>
      <c r="P29" t="s">
        <v>810</v>
      </c>
      <c r="Q29" t="s">
        <v>848</v>
      </c>
    </row>
    <row r="30" spans="1:17" x14ac:dyDescent="0.25">
      <c r="A30" t="s">
        <v>19</v>
      </c>
      <c r="B30">
        <v>225</v>
      </c>
      <c r="C30">
        <v>80</v>
      </c>
      <c r="D30">
        <v>2.7</v>
      </c>
      <c r="E30">
        <v>225</v>
      </c>
      <c r="F30">
        <v>84</v>
      </c>
      <c r="G30">
        <v>2.7</v>
      </c>
      <c r="H30">
        <v>3.75</v>
      </c>
      <c r="I30">
        <v>3.42</v>
      </c>
      <c r="J30">
        <v>4.0823242903071197E-2</v>
      </c>
      <c r="K30">
        <v>500</v>
      </c>
      <c r="L30">
        <v>0</v>
      </c>
      <c r="N30">
        <v>14</v>
      </c>
      <c r="O30" s="48" t="s">
        <v>815</v>
      </c>
      <c r="P30" t="s">
        <v>738</v>
      </c>
      <c r="Q30" t="s">
        <v>833</v>
      </c>
    </row>
    <row r="31" spans="1:17" x14ac:dyDescent="0.25">
      <c r="A31" t="s">
        <v>19</v>
      </c>
      <c r="B31">
        <v>225</v>
      </c>
      <c r="C31">
        <v>84</v>
      </c>
      <c r="D31">
        <v>2.7</v>
      </c>
      <c r="E31">
        <v>275</v>
      </c>
      <c r="F31">
        <v>84</v>
      </c>
      <c r="G31">
        <v>2.7</v>
      </c>
      <c r="H31">
        <v>3.75</v>
      </c>
      <c r="I31">
        <v>3.42</v>
      </c>
      <c r="J31">
        <v>0.51029053628838994</v>
      </c>
      <c r="K31">
        <v>500</v>
      </c>
      <c r="L31">
        <v>0</v>
      </c>
      <c r="N31">
        <v>14</v>
      </c>
      <c r="O31" s="48" t="s">
        <v>816</v>
      </c>
      <c r="P31" t="s">
        <v>739</v>
      </c>
      <c r="Q31" t="s">
        <v>849</v>
      </c>
    </row>
    <row r="32" spans="1:17" x14ac:dyDescent="0.25">
      <c r="A32" t="s">
        <v>19</v>
      </c>
      <c r="B32">
        <v>275</v>
      </c>
      <c r="C32">
        <v>84</v>
      </c>
      <c r="D32">
        <v>2.7</v>
      </c>
      <c r="E32">
        <v>275</v>
      </c>
      <c r="F32">
        <v>88</v>
      </c>
      <c r="G32">
        <v>2.7</v>
      </c>
      <c r="H32">
        <v>3.75</v>
      </c>
      <c r="I32">
        <v>3.42</v>
      </c>
      <c r="J32">
        <v>4.0823242903071197E-2</v>
      </c>
      <c r="K32">
        <v>500</v>
      </c>
      <c r="L32">
        <v>0</v>
      </c>
      <c r="N32">
        <v>14</v>
      </c>
      <c r="O32" s="48" t="s">
        <v>817</v>
      </c>
      <c r="P32" t="s">
        <v>809</v>
      </c>
      <c r="Q32" t="s">
        <v>832</v>
      </c>
    </row>
    <row r="33" spans="1:17" x14ac:dyDescent="0.25">
      <c r="A33" t="s">
        <v>19</v>
      </c>
      <c r="B33">
        <v>275</v>
      </c>
      <c r="C33">
        <v>88</v>
      </c>
      <c r="D33">
        <v>2.7</v>
      </c>
      <c r="E33">
        <v>225</v>
      </c>
      <c r="F33">
        <v>88</v>
      </c>
      <c r="G33">
        <v>2.7</v>
      </c>
      <c r="H33">
        <v>3.75</v>
      </c>
      <c r="I33">
        <v>3.42</v>
      </c>
      <c r="J33">
        <v>0.51029053628838994</v>
      </c>
      <c r="K33">
        <v>500</v>
      </c>
      <c r="L33">
        <v>0</v>
      </c>
      <c r="N33">
        <v>14</v>
      </c>
      <c r="O33" s="48" t="s">
        <v>818</v>
      </c>
      <c r="P33" t="s">
        <v>810</v>
      </c>
      <c r="Q33" t="s">
        <v>848</v>
      </c>
    </row>
    <row r="34" spans="1:17" x14ac:dyDescent="0.25">
      <c r="A34" t="s">
        <v>19</v>
      </c>
      <c r="B34">
        <v>225</v>
      </c>
      <c r="C34">
        <v>88</v>
      </c>
      <c r="D34">
        <v>2.7</v>
      </c>
      <c r="E34">
        <v>225</v>
      </c>
      <c r="F34">
        <v>92</v>
      </c>
      <c r="G34">
        <v>2.7</v>
      </c>
      <c r="H34">
        <v>3.75</v>
      </c>
      <c r="I34">
        <v>3.42</v>
      </c>
      <c r="J34">
        <v>4.0823242903071197E-2</v>
      </c>
      <c r="K34">
        <v>500</v>
      </c>
      <c r="L34">
        <v>0</v>
      </c>
      <c r="N34">
        <v>14</v>
      </c>
      <c r="O34" s="48" t="s">
        <v>819</v>
      </c>
      <c r="P34" t="s">
        <v>738</v>
      </c>
      <c r="Q34" t="s">
        <v>831</v>
      </c>
    </row>
    <row r="35" spans="1:17" x14ac:dyDescent="0.25">
      <c r="A35" t="s">
        <v>19</v>
      </c>
      <c r="B35">
        <v>225</v>
      </c>
      <c r="C35">
        <v>92</v>
      </c>
      <c r="D35">
        <v>2.7</v>
      </c>
      <c r="E35">
        <v>275</v>
      </c>
      <c r="F35">
        <v>92</v>
      </c>
      <c r="G35">
        <v>2.7</v>
      </c>
      <c r="H35">
        <v>3.75</v>
      </c>
      <c r="I35">
        <v>3.42</v>
      </c>
      <c r="J35">
        <v>0.51029053628838994</v>
      </c>
      <c r="K35">
        <v>500</v>
      </c>
      <c r="L35">
        <v>0</v>
      </c>
      <c r="N35">
        <v>14</v>
      </c>
      <c r="O35" s="48" t="s">
        <v>820</v>
      </c>
      <c r="P35" t="s">
        <v>739</v>
      </c>
      <c r="Q35" t="s">
        <v>849</v>
      </c>
    </row>
    <row r="36" spans="1:17" x14ac:dyDescent="0.25">
      <c r="A36" t="s">
        <v>19</v>
      </c>
      <c r="B36">
        <v>275</v>
      </c>
      <c r="C36">
        <v>92</v>
      </c>
      <c r="D36">
        <v>2.7</v>
      </c>
      <c r="E36">
        <v>275</v>
      </c>
      <c r="F36">
        <v>96</v>
      </c>
      <c r="G36">
        <v>2.7</v>
      </c>
      <c r="H36">
        <v>3.75</v>
      </c>
      <c r="I36">
        <v>3.42</v>
      </c>
      <c r="J36">
        <v>4.0823242903071197E-2</v>
      </c>
      <c r="K36">
        <v>500</v>
      </c>
      <c r="L36">
        <v>0</v>
      </c>
      <c r="N36">
        <v>14</v>
      </c>
      <c r="O36" s="48" t="s">
        <v>821</v>
      </c>
      <c r="P36" t="s">
        <v>809</v>
      </c>
      <c r="Q36" t="s">
        <v>830</v>
      </c>
    </row>
    <row r="37" spans="1:17" x14ac:dyDescent="0.25">
      <c r="A37" t="s">
        <v>19</v>
      </c>
      <c r="B37">
        <v>275</v>
      </c>
      <c r="C37">
        <v>96</v>
      </c>
      <c r="D37">
        <v>2.7</v>
      </c>
      <c r="E37">
        <v>225</v>
      </c>
      <c r="F37">
        <v>96</v>
      </c>
      <c r="G37">
        <v>2.7</v>
      </c>
      <c r="H37">
        <v>3.75</v>
      </c>
      <c r="I37">
        <v>3.42</v>
      </c>
      <c r="J37">
        <v>0.51029053628838994</v>
      </c>
      <c r="K37">
        <v>500</v>
      </c>
      <c r="L37">
        <v>0</v>
      </c>
      <c r="N37">
        <v>14</v>
      </c>
      <c r="O37" s="48" t="s">
        <v>822</v>
      </c>
      <c r="P37" t="s">
        <v>810</v>
      </c>
      <c r="Q37" t="s">
        <v>848</v>
      </c>
    </row>
    <row r="38" spans="1:17" x14ac:dyDescent="0.25">
      <c r="A38" t="s">
        <v>19</v>
      </c>
      <c r="B38">
        <v>225</v>
      </c>
      <c r="C38">
        <v>96</v>
      </c>
      <c r="D38">
        <v>2.7</v>
      </c>
      <c r="E38">
        <v>225</v>
      </c>
      <c r="F38">
        <v>100</v>
      </c>
      <c r="G38">
        <v>2.7</v>
      </c>
      <c r="H38">
        <v>3.75</v>
      </c>
      <c r="I38">
        <v>3.42</v>
      </c>
      <c r="J38">
        <v>4.0823242903071197E-2</v>
      </c>
      <c r="K38">
        <v>500</v>
      </c>
      <c r="L38">
        <v>0</v>
      </c>
      <c r="N38">
        <v>14</v>
      </c>
      <c r="O38" s="48" t="s">
        <v>823</v>
      </c>
      <c r="P38" t="s">
        <v>738</v>
      </c>
      <c r="Q38" t="s">
        <v>839</v>
      </c>
    </row>
    <row r="39" spans="1:17" x14ac:dyDescent="0.25">
      <c r="A39" t="s">
        <v>19</v>
      </c>
      <c r="B39">
        <v>225</v>
      </c>
      <c r="C39">
        <v>100</v>
      </c>
      <c r="D39">
        <v>2.7</v>
      </c>
      <c r="E39">
        <v>275</v>
      </c>
      <c r="F39">
        <v>100</v>
      </c>
      <c r="G39">
        <v>2.7</v>
      </c>
      <c r="H39">
        <v>3.75</v>
      </c>
      <c r="I39">
        <v>3.42</v>
      </c>
      <c r="J39">
        <v>0.51029053628838994</v>
      </c>
      <c r="K39">
        <v>500</v>
      </c>
      <c r="L39">
        <v>0</v>
      </c>
      <c r="N39">
        <v>14</v>
      </c>
      <c r="O39" s="48" t="s">
        <v>824</v>
      </c>
      <c r="P39" t="s">
        <v>739</v>
      </c>
      <c r="Q39" t="s">
        <v>849</v>
      </c>
    </row>
    <row r="40" spans="1:17" x14ac:dyDescent="0.25">
      <c r="A40" t="s">
        <v>39</v>
      </c>
      <c r="B40">
        <v>0</v>
      </c>
      <c r="C40">
        <v>0</v>
      </c>
      <c r="N40">
        <v>15</v>
      </c>
      <c r="O40" s="48" t="s">
        <v>842</v>
      </c>
      <c r="P40" t="s">
        <v>827</v>
      </c>
      <c r="Q40" t="s">
        <v>807</v>
      </c>
    </row>
    <row r="41" spans="1:17" x14ac:dyDescent="0.25">
      <c r="A41" t="s">
        <v>808</v>
      </c>
      <c r="B41">
        <v>2.7</v>
      </c>
      <c r="C41">
        <v>6000</v>
      </c>
      <c r="N41">
        <v>15</v>
      </c>
      <c r="O41" s="48" t="s">
        <v>842</v>
      </c>
      <c r="P41" t="s">
        <v>827</v>
      </c>
      <c r="Q41" t="s">
        <v>843</v>
      </c>
    </row>
    <row r="42" spans="1:17" x14ac:dyDescent="0.25">
      <c r="A42" t="s">
        <v>23</v>
      </c>
      <c r="B42">
        <v>275</v>
      </c>
      <c r="C42">
        <v>100</v>
      </c>
      <c r="D42">
        <v>2.7</v>
      </c>
      <c r="E42">
        <v>275</v>
      </c>
      <c r="F42">
        <v>100</v>
      </c>
      <c r="G42">
        <v>5.4</v>
      </c>
      <c r="H42">
        <v>0</v>
      </c>
      <c r="I42">
        <v>0</v>
      </c>
      <c r="K42">
        <v>3000</v>
      </c>
      <c r="N42">
        <v>0</v>
      </c>
      <c r="O42" s="48">
        <v>0</v>
      </c>
      <c r="P42" t="s">
        <v>659</v>
      </c>
      <c r="Q42" t="s">
        <v>844</v>
      </c>
    </row>
    <row r="43" spans="1:17" x14ac:dyDescent="0.25">
      <c r="A43" t="s">
        <v>23</v>
      </c>
      <c r="B43">
        <v>275</v>
      </c>
      <c r="C43">
        <v>100</v>
      </c>
      <c r="D43">
        <v>5.4</v>
      </c>
      <c r="E43">
        <v>283</v>
      </c>
      <c r="F43">
        <v>100</v>
      </c>
      <c r="G43">
        <v>10.8</v>
      </c>
      <c r="H43">
        <v>0</v>
      </c>
      <c r="I43">
        <v>0</v>
      </c>
      <c r="J43">
        <v>0</v>
      </c>
      <c r="K43">
        <v>3000</v>
      </c>
      <c r="L43">
        <v>0</v>
      </c>
      <c r="N43">
        <v>17</v>
      </c>
      <c r="O43" s="48" t="s">
        <v>741</v>
      </c>
      <c r="P43" t="s">
        <v>740</v>
      </c>
      <c r="Q43" t="s">
        <v>847</v>
      </c>
    </row>
    <row r="44" spans="1:17" x14ac:dyDescent="0.25">
      <c r="A44" t="s">
        <v>23</v>
      </c>
      <c r="B44">
        <v>283</v>
      </c>
      <c r="C44">
        <v>100</v>
      </c>
      <c r="D44">
        <v>10.8</v>
      </c>
      <c r="E44">
        <v>283</v>
      </c>
      <c r="F44">
        <v>140</v>
      </c>
      <c r="G44">
        <v>10.8</v>
      </c>
      <c r="H44">
        <v>0</v>
      </c>
      <c r="I44">
        <v>0</v>
      </c>
      <c r="J44">
        <v>0</v>
      </c>
      <c r="K44">
        <v>3000</v>
      </c>
      <c r="L44">
        <v>0</v>
      </c>
      <c r="N44">
        <v>18</v>
      </c>
      <c r="O44" s="48" t="s">
        <v>743</v>
      </c>
      <c r="P44" t="s">
        <v>742</v>
      </c>
      <c r="Q44" t="s">
        <v>828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03" t="s">
        <v>540</v>
      </c>
    </row>
    <row r="10" spans="1:9" x14ac:dyDescent="0.25">
      <c r="B10" t="s">
        <v>633</v>
      </c>
      <c r="I10" t="s">
        <v>541</v>
      </c>
    </row>
    <row r="11" spans="1:9" x14ac:dyDescent="0.25">
      <c r="I11" t="s">
        <v>542</v>
      </c>
    </row>
    <row r="12" spans="1:9" x14ac:dyDescent="0.25">
      <c r="B12" t="s">
        <v>791</v>
      </c>
      <c r="I12" t="s">
        <v>537</v>
      </c>
    </row>
    <row r="13" spans="1:9" ht="15" customHeight="1" x14ac:dyDescent="0.25">
      <c r="I13" s="103" t="s">
        <v>543</v>
      </c>
    </row>
    <row r="14" spans="1:9" x14ac:dyDescent="0.25">
      <c r="B14" t="s">
        <v>792</v>
      </c>
      <c r="I14" t="s">
        <v>547</v>
      </c>
    </row>
    <row r="15" spans="1:9" x14ac:dyDescent="0.25">
      <c r="B15" t="s">
        <v>794</v>
      </c>
      <c r="I15" t="s">
        <v>548</v>
      </c>
    </row>
    <row r="16" spans="1:9" x14ac:dyDescent="0.25">
      <c r="B16" t="str">
        <f>CONCATENATE("set global.concretePrimeX = ", ConcretePrimeX)</f>
        <v>set global.concretePrimeX = 205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70</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45" customFormat="1" x14ac:dyDescent="0.25">
      <c r="A3" s="45" t="s">
        <v>195</v>
      </c>
      <c r="B3" s="45" t="s">
        <v>195</v>
      </c>
      <c r="C3" s="45" t="s">
        <v>195</v>
      </c>
      <c r="D3" s="45" t="s">
        <v>195</v>
      </c>
      <c r="E3" s="45" t="s">
        <v>195</v>
      </c>
      <c r="F3" s="45" t="s">
        <v>195</v>
      </c>
      <c r="G3" s="45" t="s">
        <v>195</v>
      </c>
      <c r="H3" s="45" t="s">
        <v>195</v>
      </c>
      <c r="I3" s="45" t="s">
        <v>195</v>
      </c>
      <c r="J3" s="45" t="s">
        <v>195</v>
      </c>
      <c r="K3" s="45" t="s">
        <v>195</v>
      </c>
      <c r="L3" s="45" t="s">
        <v>195</v>
      </c>
      <c r="M3" s="45" t="s">
        <v>195</v>
      </c>
      <c r="N3" s="45" t="s">
        <v>195</v>
      </c>
      <c r="O3" s="45" t="s">
        <v>195</v>
      </c>
      <c r="P3" s="45"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45" customFormat="1" x14ac:dyDescent="0.25">
      <c r="A14" s="45" t="s">
        <v>196</v>
      </c>
      <c r="B14" s="45" t="s">
        <v>196</v>
      </c>
      <c r="C14" s="45" t="s">
        <v>196</v>
      </c>
      <c r="D14" s="45" t="s">
        <v>196</v>
      </c>
      <c r="E14" s="45" t="s">
        <v>196</v>
      </c>
      <c r="F14" s="45" t="s">
        <v>196</v>
      </c>
      <c r="G14" s="45" t="s">
        <v>196</v>
      </c>
      <c r="H14" s="45" t="s">
        <v>196</v>
      </c>
      <c r="I14" s="45" t="s">
        <v>196</v>
      </c>
      <c r="J14" s="45" t="s">
        <v>196</v>
      </c>
      <c r="K14" s="45" t="s">
        <v>196</v>
      </c>
      <c r="L14" s="45" t="s">
        <v>196</v>
      </c>
      <c r="M14" s="45" t="s">
        <v>196</v>
      </c>
      <c r="N14" s="45" t="s">
        <v>196</v>
      </c>
      <c r="O14" s="45" t="s">
        <v>196</v>
      </c>
      <c r="P14" s="45" t="s">
        <v>196</v>
      </c>
    </row>
    <row r="15" spans="1:16" x14ac:dyDescent="0.25">
      <c r="B15" t="s">
        <v>210</v>
      </c>
      <c r="C15" t="s">
        <v>83</v>
      </c>
    </row>
    <row r="16" spans="1:16" s="45" customFormat="1" x14ac:dyDescent="0.25">
      <c r="B16" t="s">
        <v>211</v>
      </c>
      <c r="C16" t="s">
        <v>481</v>
      </c>
    </row>
    <row r="17" spans="1:16" s="45" customFormat="1" x14ac:dyDescent="0.25">
      <c r="B17" t="s">
        <v>212</v>
      </c>
    </row>
    <row r="18" spans="1:16" s="45" customFormat="1" x14ac:dyDescent="0.25">
      <c r="B18" t="s">
        <v>213</v>
      </c>
    </row>
    <row r="19" spans="1:16" s="45" customFormat="1" x14ac:dyDescent="0.25">
      <c r="B19" t="s">
        <v>214</v>
      </c>
    </row>
    <row r="25" spans="1:16" s="45" customFormat="1" x14ac:dyDescent="0.25">
      <c r="A25" s="45" t="s">
        <v>197</v>
      </c>
      <c r="B25" s="45" t="s">
        <v>197</v>
      </c>
      <c r="C25" s="45" t="s">
        <v>197</v>
      </c>
      <c r="D25" s="45" t="s">
        <v>197</v>
      </c>
      <c r="E25" s="45" t="s">
        <v>197</v>
      </c>
      <c r="F25" s="45" t="s">
        <v>197</v>
      </c>
      <c r="G25" s="45" t="s">
        <v>197</v>
      </c>
      <c r="H25" s="45" t="s">
        <v>197</v>
      </c>
      <c r="I25" s="45" t="s">
        <v>197</v>
      </c>
      <c r="J25" s="45" t="s">
        <v>197</v>
      </c>
      <c r="K25" s="45" t="s">
        <v>197</v>
      </c>
      <c r="L25" s="45" t="s">
        <v>197</v>
      </c>
      <c r="M25" s="45" t="s">
        <v>197</v>
      </c>
      <c r="N25" s="45" t="s">
        <v>197</v>
      </c>
      <c r="O25" s="45" t="s">
        <v>197</v>
      </c>
      <c r="P25" s="45" t="s">
        <v>197</v>
      </c>
    </row>
    <row r="26" spans="1:16" x14ac:dyDescent="0.25">
      <c r="B26" t="s">
        <v>215</v>
      </c>
      <c r="C26" t="s">
        <v>468</v>
      </c>
      <c r="D26" t="s">
        <v>468</v>
      </c>
    </row>
    <row r="27" spans="1:16" s="45" customFormat="1" x14ac:dyDescent="0.25">
      <c r="B27" t="s">
        <v>216</v>
      </c>
      <c r="C27" t="s">
        <v>482</v>
      </c>
      <c r="D27" t="s">
        <v>500</v>
      </c>
    </row>
    <row r="28" spans="1:16" s="45" customFormat="1" x14ac:dyDescent="0.25">
      <c r="B28" t="s">
        <v>217</v>
      </c>
      <c r="D28"/>
    </row>
    <row r="29" spans="1:16" s="45" customFormat="1" x14ac:dyDescent="0.25">
      <c r="B29" t="s">
        <v>218</v>
      </c>
      <c r="D29"/>
    </row>
    <row r="30" spans="1:16" s="45" customFormat="1" x14ac:dyDescent="0.25">
      <c r="B30" t="s">
        <v>219</v>
      </c>
    </row>
    <row r="36" spans="1:16" s="45" customFormat="1" x14ac:dyDescent="0.25">
      <c r="A36" s="45" t="s">
        <v>198</v>
      </c>
      <c r="B36" s="45" t="s">
        <v>198</v>
      </c>
      <c r="C36" s="45" t="s">
        <v>198</v>
      </c>
      <c r="D36" s="45" t="s">
        <v>198</v>
      </c>
      <c r="E36" s="45" t="s">
        <v>198</v>
      </c>
      <c r="F36" s="45" t="s">
        <v>198</v>
      </c>
      <c r="G36" s="45" t="s">
        <v>198</v>
      </c>
      <c r="H36" s="45" t="s">
        <v>198</v>
      </c>
      <c r="I36" s="45" t="s">
        <v>198</v>
      </c>
      <c r="J36" s="45" t="s">
        <v>198</v>
      </c>
      <c r="K36" s="45" t="s">
        <v>198</v>
      </c>
      <c r="L36" s="45" t="s">
        <v>198</v>
      </c>
      <c r="M36" s="45" t="s">
        <v>198</v>
      </c>
      <c r="N36" s="45" t="s">
        <v>198</v>
      </c>
      <c r="O36" s="45" t="s">
        <v>198</v>
      </c>
      <c r="P36" s="45" t="s">
        <v>198</v>
      </c>
    </row>
    <row r="37" spans="1:16" x14ac:dyDescent="0.25">
      <c r="B37" t="s">
        <v>220</v>
      </c>
      <c r="C37" t="s">
        <v>83</v>
      </c>
    </row>
    <row r="38" spans="1:16" s="45" customFormat="1" x14ac:dyDescent="0.25">
      <c r="B38" t="s">
        <v>221</v>
      </c>
      <c r="C38" t="s">
        <v>481</v>
      </c>
    </row>
    <row r="39" spans="1:16" s="45" customFormat="1" x14ac:dyDescent="0.25">
      <c r="B39" t="s">
        <v>222</v>
      </c>
    </row>
    <row r="40" spans="1:16" s="45" customFormat="1" x14ac:dyDescent="0.25">
      <c r="B40" t="s">
        <v>223</v>
      </c>
    </row>
    <row r="41" spans="1:16" s="45" customFormat="1" x14ac:dyDescent="0.25">
      <c r="B41" t="s">
        <v>224</v>
      </c>
    </row>
    <row r="47" spans="1:16" s="45" customFormat="1" x14ac:dyDescent="0.25">
      <c r="A47" s="45" t="s">
        <v>199</v>
      </c>
      <c r="B47" s="45" t="s">
        <v>199</v>
      </c>
      <c r="C47" s="45" t="s">
        <v>199</v>
      </c>
      <c r="D47" s="45" t="s">
        <v>199</v>
      </c>
      <c r="E47" s="45" t="s">
        <v>199</v>
      </c>
      <c r="F47" s="45" t="s">
        <v>199</v>
      </c>
      <c r="G47" s="45" t="s">
        <v>199</v>
      </c>
      <c r="H47" s="45" t="s">
        <v>199</v>
      </c>
      <c r="I47" s="45" t="s">
        <v>199</v>
      </c>
      <c r="J47" s="45" t="s">
        <v>199</v>
      </c>
      <c r="K47" s="45" t="s">
        <v>199</v>
      </c>
      <c r="L47" s="45" t="s">
        <v>199</v>
      </c>
      <c r="M47" s="45" t="s">
        <v>199</v>
      </c>
      <c r="N47" s="45" t="s">
        <v>199</v>
      </c>
      <c r="O47" s="45" t="s">
        <v>199</v>
      </c>
      <c r="P47" s="45" t="s">
        <v>199</v>
      </c>
    </row>
    <row r="48" spans="1:16" x14ac:dyDescent="0.25">
      <c r="B48" t="s">
        <v>226</v>
      </c>
      <c r="D48" t="s">
        <v>499</v>
      </c>
    </row>
    <row r="49" spans="1:16" s="45" customFormat="1" x14ac:dyDescent="0.25">
      <c r="B49" t="s">
        <v>225</v>
      </c>
      <c r="D49" t="s">
        <v>545</v>
      </c>
    </row>
    <row r="50" spans="1:16" s="45" customFormat="1" x14ac:dyDescent="0.25">
      <c r="B50" t="s">
        <v>227</v>
      </c>
      <c r="D50" t="s">
        <v>546</v>
      </c>
    </row>
    <row r="51" spans="1:16" s="45" customFormat="1" x14ac:dyDescent="0.25">
      <c r="B51" t="s">
        <v>228</v>
      </c>
      <c r="D51"/>
    </row>
    <row r="52" spans="1:16" s="45" customFormat="1" x14ac:dyDescent="0.25">
      <c r="B52" t="s">
        <v>229</v>
      </c>
      <c r="D52"/>
    </row>
    <row r="58" spans="1:16" s="45" customFormat="1" x14ac:dyDescent="0.25">
      <c r="A58" s="45" t="s">
        <v>200</v>
      </c>
      <c r="B58" s="45" t="s">
        <v>200</v>
      </c>
      <c r="C58" s="45" t="s">
        <v>200</v>
      </c>
      <c r="D58" s="45" t="s">
        <v>200</v>
      </c>
      <c r="E58" s="45" t="s">
        <v>200</v>
      </c>
      <c r="F58" s="45" t="s">
        <v>200</v>
      </c>
      <c r="G58" s="45" t="s">
        <v>200</v>
      </c>
      <c r="H58" s="45" t="s">
        <v>200</v>
      </c>
      <c r="I58" s="45" t="s">
        <v>200</v>
      </c>
      <c r="J58" s="45" t="s">
        <v>200</v>
      </c>
      <c r="K58" s="45" t="s">
        <v>200</v>
      </c>
      <c r="L58" s="45" t="s">
        <v>200</v>
      </c>
      <c r="M58" s="45" t="s">
        <v>200</v>
      </c>
      <c r="N58" s="45" t="s">
        <v>200</v>
      </c>
      <c r="O58" s="45" t="s">
        <v>200</v>
      </c>
      <c r="P58" s="45" t="s">
        <v>200</v>
      </c>
    </row>
    <row r="59" spans="1:16" x14ac:dyDescent="0.25">
      <c r="B59" t="s">
        <v>230</v>
      </c>
    </row>
    <row r="60" spans="1:16" s="45" customFormat="1" x14ac:dyDescent="0.25">
      <c r="B60" t="s">
        <v>231</v>
      </c>
    </row>
    <row r="61" spans="1:16" s="45" customFormat="1" x14ac:dyDescent="0.25">
      <c r="B61" t="s">
        <v>232</v>
      </c>
    </row>
    <row r="62" spans="1:16" s="45" customFormat="1" x14ac:dyDescent="0.25">
      <c r="B62" t="s">
        <v>233</v>
      </c>
    </row>
    <row r="63" spans="1:16" s="45" customFormat="1" x14ac:dyDescent="0.25">
      <c r="B63" t="s">
        <v>234</v>
      </c>
    </row>
    <row r="69" spans="1:16" s="45" customFormat="1" x14ac:dyDescent="0.25">
      <c r="A69" s="45" t="s">
        <v>201</v>
      </c>
      <c r="B69" s="45" t="s">
        <v>201</v>
      </c>
      <c r="C69" s="45" t="s">
        <v>201</v>
      </c>
      <c r="D69" s="45" t="s">
        <v>201</v>
      </c>
      <c r="E69" s="45" t="s">
        <v>201</v>
      </c>
      <c r="F69" s="45" t="s">
        <v>201</v>
      </c>
      <c r="G69" s="45" t="s">
        <v>201</v>
      </c>
      <c r="H69" s="45" t="s">
        <v>201</v>
      </c>
      <c r="I69" s="45" t="s">
        <v>201</v>
      </c>
      <c r="J69" s="45" t="s">
        <v>201</v>
      </c>
      <c r="K69" s="45" t="s">
        <v>201</v>
      </c>
      <c r="L69" s="45" t="s">
        <v>201</v>
      </c>
      <c r="M69" s="45" t="s">
        <v>201</v>
      </c>
      <c r="N69" s="45" t="s">
        <v>201</v>
      </c>
      <c r="O69" s="45" t="s">
        <v>201</v>
      </c>
      <c r="P69" s="45" t="s">
        <v>201</v>
      </c>
    </row>
    <row r="70" spans="1:16" x14ac:dyDescent="0.25">
      <c r="B70" t="s">
        <v>235</v>
      </c>
    </row>
    <row r="71" spans="1:16" s="45" customFormat="1" x14ac:dyDescent="0.25">
      <c r="B71" t="s">
        <v>236</v>
      </c>
      <c r="D71"/>
    </row>
    <row r="72" spans="1:16" s="45" customFormat="1" x14ac:dyDescent="0.25">
      <c r="B72" t="s">
        <v>237</v>
      </c>
      <c r="D72"/>
    </row>
    <row r="73" spans="1:16" s="45" customFormat="1" x14ac:dyDescent="0.25">
      <c r="B73" t="s">
        <v>238</v>
      </c>
      <c r="D73"/>
    </row>
    <row r="74" spans="1:16" s="45" customFormat="1" x14ac:dyDescent="0.25">
      <c r="B74" t="s">
        <v>239</v>
      </c>
    </row>
    <row r="80" spans="1:16" s="45" customFormat="1" x14ac:dyDescent="0.25">
      <c r="A80" s="45" t="s">
        <v>202</v>
      </c>
      <c r="B80" s="45" t="s">
        <v>202</v>
      </c>
      <c r="C80" s="45" t="s">
        <v>202</v>
      </c>
      <c r="D80" s="45" t="s">
        <v>202</v>
      </c>
      <c r="E80" s="45" t="s">
        <v>202</v>
      </c>
      <c r="F80" s="45" t="s">
        <v>202</v>
      </c>
      <c r="G80" s="45" t="s">
        <v>202</v>
      </c>
      <c r="H80" s="45" t="s">
        <v>202</v>
      </c>
      <c r="I80" s="45" t="s">
        <v>202</v>
      </c>
      <c r="J80" s="45" t="s">
        <v>202</v>
      </c>
      <c r="K80" s="45" t="s">
        <v>202</v>
      </c>
      <c r="L80" s="45" t="s">
        <v>202</v>
      </c>
      <c r="M80" s="45" t="s">
        <v>202</v>
      </c>
      <c r="N80" s="45" t="s">
        <v>202</v>
      </c>
      <c r="O80" s="45" t="s">
        <v>202</v>
      </c>
      <c r="P80" s="45" t="s">
        <v>202</v>
      </c>
    </row>
    <row r="81" spans="2:2" x14ac:dyDescent="0.25">
      <c r="B81" t="s">
        <v>240</v>
      </c>
    </row>
    <row r="82" spans="2:2" s="45" customFormat="1" x14ac:dyDescent="0.25">
      <c r="B82" t="s">
        <v>241</v>
      </c>
    </row>
    <row r="83" spans="2:2" s="45" customFormat="1" x14ac:dyDescent="0.25">
      <c r="B83" t="s">
        <v>242</v>
      </c>
    </row>
    <row r="84" spans="2:2" s="45" customFormat="1" x14ac:dyDescent="0.25">
      <c r="B84" t="s">
        <v>243</v>
      </c>
    </row>
    <row r="85" spans="2:2" s="45" customFormat="1" x14ac:dyDescent="0.25">
      <c r="B85" t="s">
        <v>244</v>
      </c>
    </row>
    <row r="92" spans="2:2" s="45" customFormat="1" x14ac:dyDescent="0.25">
      <c r="B92"/>
    </row>
    <row r="93" spans="2:2" s="45" customFormat="1" x14ac:dyDescent="0.25">
      <c r="B93"/>
    </row>
    <row r="94" spans="2:2" s="45" customFormat="1" x14ac:dyDescent="0.25">
      <c r="B94"/>
    </row>
    <row r="95" spans="2:2" s="45" customFormat="1" x14ac:dyDescent="0.25">
      <c r="B95"/>
    </row>
    <row r="102" spans="2:2" s="45" customFormat="1" x14ac:dyDescent="0.25">
      <c r="B102"/>
    </row>
    <row r="103" spans="2:2" s="45" customFormat="1" x14ac:dyDescent="0.25">
      <c r="B103"/>
    </row>
    <row r="104" spans="2:2" s="45" customFormat="1" x14ac:dyDescent="0.25">
      <c r="B104"/>
    </row>
    <row r="105" spans="2:2" s="45" customFormat="1" x14ac:dyDescent="0.25">
      <c r="B105"/>
    </row>
    <row r="112" spans="2:2" s="45" customFormat="1" x14ac:dyDescent="0.25">
      <c r="B112"/>
    </row>
    <row r="113" spans="2:2" s="45" customFormat="1" x14ac:dyDescent="0.25">
      <c r="B113"/>
    </row>
    <row r="114" spans="2:2" s="45" customFormat="1" x14ac:dyDescent="0.25">
      <c r="B114"/>
    </row>
    <row r="115" spans="2:2" s="45" customFormat="1" x14ac:dyDescent="0.25">
      <c r="B115"/>
    </row>
    <row r="122" spans="2:2" s="45" customFormat="1" x14ac:dyDescent="0.25">
      <c r="B122"/>
    </row>
    <row r="123" spans="2:2" s="45" customFormat="1" x14ac:dyDescent="0.25">
      <c r="B123"/>
    </row>
    <row r="124" spans="2:2" s="45" customFormat="1" x14ac:dyDescent="0.25">
      <c r="B124"/>
    </row>
    <row r="125" spans="2:2" s="45" customFormat="1" x14ac:dyDescent="0.25">
      <c r="B125"/>
    </row>
    <row r="132" spans="2:2" s="45" customFormat="1" x14ac:dyDescent="0.25">
      <c r="B132"/>
    </row>
    <row r="133" spans="2:2" s="45" customFormat="1" x14ac:dyDescent="0.25">
      <c r="B133"/>
    </row>
    <row r="134" spans="2:2" s="45" customFormat="1" x14ac:dyDescent="0.25">
      <c r="B134"/>
    </row>
    <row r="135" spans="2:2" s="45" customFormat="1" x14ac:dyDescent="0.25">
      <c r="B135"/>
    </row>
    <row r="142" spans="2:2" s="45" customFormat="1" x14ac:dyDescent="0.25">
      <c r="B142"/>
    </row>
    <row r="143" spans="2:2" s="45" customFormat="1" x14ac:dyDescent="0.25">
      <c r="B143"/>
    </row>
    <row r="144" spans="2:2" s="45" customFormat="1" x14ac:dyDescent="0.25">
      <c r="B144"/>
    </row>
    <row r="145" spans="2:2" s="45" customFormat="1" x14ac:dyDescent="0.25">
      <c r="B145"/>
    </row>
    <row r="152" spans="2:2" s="45" customFormat="1" x14ac:dyDescent="0.25">
      <c r="B152"/>
    </row>
    <row r="153" spans="2:2" s="45" customFormat="1" x14ac:dyDescent="0.25">
      <c r="B153"/>
    </row>
    <row r="154" spans="2:2" s="45" customFormat="1" x14ac:dyDescent="0.25">
      <c r="B154"/>
    </row>
    <row r="155" spans="2:2" s="45" customFormat="1" x14ac:dyDescent="0.25">
      <c r="B155"/>
    </row>
    <row r="162" spans="2:2" s="45" customFormat="1" x14ac:dyDescent="0.25">
      <c r="B162"/>
    </row>
    <row r="163" spans="2:2" s="45" customFormat="1" x14ac:dyDescent="0.25">
      <c r="B163"/>
    </row>
    <row r="164" spans="2:2" s="45" customFormat="1" x14ac:dyDescent="0.25">
      <c r="B164"/>
    </row>
    <row r="165" spans="2:2" s="45" customFormat="1" x14ac:dyDescent="0.25">
      <c r="B165"/>
    </row>
    <row r="172" spans="2:2" s="45" customFormat="1" x14ac:dyDescent="0.25">
      <c r="B172"/>
    </row>
    <row r="173" spans="2:2" s="45" customFormat="1" x14ac:dyDescent="0.25">
      <c r="B173"/>
    </row>
    <row r="174" spans="2:2" s="45" customFormat="1" x14ac:dyDescent="0.25">
      <c r="B174"/>
    </row>
    <row r="175" spans="2:2" s="45"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99"/>
  <sheetViews>
    <sheetView zoomScale="71" zoomScaleNormal="71" workbookViewId="0">
      <selection sqref="A1:A99"/>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791</v>
      </c>
    </row>
    <row r="13" spans="1:1" x14ac:dyDescent="0.25">
      <c r="A13" t="s">
        <v>792</v>
      </c>
    </row>
    <row r="14" spans="1:1" x14ac:dyDescent="0.25">
      <c r="A14" t="s">
        <v>794</v>
      </c>
    </row>
    <row r="15" spans="1:1" x14ac:dyDescent="0.25">
      <c r="A15" t="s">
        <v>845</v>
      </c>
    </row>
    <row r="16" spans="1:1" x14ac:dyDescent="0.25">
      <c r="A16" t="s">
        <v>795</v>
      </c>
    </row>
    <row r="17" spans="1:1" x14ac:dyDescent="0.25">
      <c r="A17" t="s">
        <v>803</v>
      </c>
    </row>
    <row r="18" spans="1:1" x14ac:dyDescent="0.25">
      <c r="A18" t="s">
        <v>846</v>
      </c>
    </row>
    <row r="19" spans="1:1" x14ac:dyDescent="0.25">
      <c r="A19" t="s">
        <v>840</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793</v>
      </c>
    </row>
    <row r="36" spans="1:1" x14ac:dyDescent="0.25">
      <c r="A36" t="s">
        <v>802</v>
      </c>
    </row>
    <row r="37" spans="1:1" x14ac:dyDescent="0.25">
      <c r="A37" t="s">
        <v>829</v>
      </c>
    </row>
    <row r="38" spans="1:1" x14ac:dyDescent="0.25">
      <c r="A38" t="s">
        <v>848</v>
      </c>
    </row>
    <row r="39" spans="1:1" x14ac:dyDescent="0.25">
      <c r="A39" t="s">
        <v>830</v>
      </c>
    </row>
    <row r="40" spans="1:1" x14ac:dyDescent="0.25">
      <c r="A40" t="s">
        <v>849</v>
      </c>
    </row>
    <row r="41" spans="1:1" x14ac:dyDescent="0.25">
      <c r="A41" t="s">
        <v>831</v>
      </c>
    </row>
    <row r="42" spans="1:1" x14ac:dyDescent="0.25">
      <c r="A42" t="s">
        <v>848</v>
      </c>
    </row>
    <row r="43" spans="1:1" x14ac:dyDescent="0.25">
      <c r="A43" t="s">
        <v>832</v>
      </c>
    </row>
    <row r="44" spans="1:1" x14ac:dyDescent="0.25">
      <c r="A44" t="s">
        <v>849</v>
      </c>
    </row>
    <row r="45" spans="1:1" x14ac:dyDescent="0.25">
      <c r="A45" t="s">
        <v>833</v>
      </c>
    </row>
    <row r="46" spans="1:1" x14ac:dyDescent="0.25">
      <c r="A46" t="s">
        <v>848</v>
      </c>
    </row>
    <row r="47" spans="1:1" x14ac:dyDescent="0.25">
      <c r="A47" t="s">
        <v>834</v>
      </c>
    </row>
    <row r="48" spans="1:1" x14ac:dyDescent="0.25">
      <c r="A48" t="s">
        <v>849</v>
      </c>
    </row>
    <row r="49" spans="1:1" x14ac:dyDescent="0.25">
      <c r="A49" t="s">
        <v>835</v>
      </c>
    </row>
    <row r="50" spans="1:1" x14ac:dyDescent="0.25">
      <c r="A50" t="s">
        <v>848</v>
      </c>
    </row>
    <row r="51" spans="1:1" x14ac:dyDescent="0.25">
      <c r="A51" t="s">
        <v>836</v>
      </c>
    </row>
    <row r="52" spans="1:1" x14ac:dyDescent="0.25">
      <c r="A52" t="s">
        <v>849</v>
      </c>
    </row>
    <row r="53" spans="1:1" x14ac:dyDescent="0.25">
      <c r="A53" t="s">
        <v>837</v>
      </c>
    </row>
    <row r="54" spans="1:1" x14ac:dyDescent="0.25">
      <c r="A54" t="s">
        <v>807</v>
      </c>
    </row>
    <row r="55" spans="1:1" x14ac:dyDescent="0.25">
      <c r="A55" t="s">
        <v>825</v>
      </c>
    </row>
    <row r="56" spans="1:1" x14ac:dyDescent="0.25">
      <c r="A56" t="s">
        <v>826</v>
      </c>
    </row>
    <row r="57" spans="1:1" x14ac:dyDescent="0.25">
      <c r="A57" t="s">
        <v>838</v>
      </c>
    </row>
    <row r="58" spans="1:1" x14ac:dyDescent="0.25">
      <c r="A58" t="s">
        <v>848</v>
      </c>
    </row>
    <row r="59" spans="1:1" x14ac:dyDescent="0.25">
      <c r="A59" t="s">
        <v>835</v>
      </c>
    </row>
    <row r="60" spans="1:1" x14ac:dyDescent="0.25">
      <c r="A60" t="s">
        <v>849</v>
      </c>
    </row>
    <row r="61" spans="1:1" x14ac:dyDescent="0.25">
      <c r="A61" t="s">
        <v>834</v>
      </c>
    </row>
    <row r="62" spans="1:1" x14ac:dyDescent="0.25">
      <c r="A62" t="s">
        <v>848</v>
      </c>
    </row>
    <row r="63" spans="1:1" x14ac:dyDescent="0.25">
      <c r="A63" t="s">
        <v>833</v>
      </c>
    </row>
    <row r="64" spans="1:1" x14ac:dyDescent="0.25">
      <c r="A64" t="s">
        <v>849</v>
      </c>
    </row>
    <row r="65" spans="1:1" x14ac:dyDescent="0.25">
      <c r="A65" t="s">
        <v>832</v>
      </c>
    </row>
    <row r="66" spans="1:1" x14ac:dyDescent="0.25">
      <c r="A66" t="s">
        <v>848</v>
      </c>
    </row>
    <row r="67" spans="1:1" x14ac:dyDescent="0.25">
      <c r="A67" t="s">
        <v>831</v>
      </c>
    </row>
    <row r="68" spans="1:1" x14ac:dyDescent="0.25">
      <c r="A68" t="s">
        <v>849</v>
      </c>
    </row>
    <row r="69" spans="1:1" x14ac:dyDescent="0.25">
      <c r="A69" t="s">
        <v>830</v>
      </c>
    </row>
    <row r="70" spans="1:1" x14ac:dyDescent="0.25">
      <c r="A70" t="s">
        <v>848</v>
      </c>
    </row>
    <row r="71" spans="1:1" x14ac:dyDescent="0.25">
      <c r="A71" t="s">
        <v>839</v>
      </c>
    </row>
    <row r="72" spans="1:1" x14ac:dyDescent="0.25">
      <c r="A72" t="s">
        <v>849</v>
      </c>
    </row>
    <row r="73" spans="1:1" x14ac:dyDescent="0.25">
      <c r="A73" t="s">
        <v>807</v>
      </c>
    </row>
    <row r="74" spans="1:1" x14ac:dyDescent="0.25">
      <c r="A74" t="s">
        <v>843</v>
      </c>
    </row>
    <row r="75" spans="1:1" x14ac:dyDescent="0.25">
      <c r="A75" t="s">
        <v>844</v>
      </c>
    </row>
    <row r="76" spans="1:1" x14ac:dyDescent="0.25">
      <c r="A76" t="s">
        <v>847</v>
      </c>
    </row>
    <row r="77" spans="1:1" x14ac:dyDescent="0.25">
      <c r="A77" t="s">
        <v>828</v>
      </c>
    </row>
    <row r="79" spans="1:1" x14ac:dyDescent="0.25">
      <c r="A79" t="s">
        <v>638</v>
      </c>
    </row>
    <row r="81" spans="1:1" x14ac:dyDescent="0.25">
      <c r="A81" t="s">
        <v>491</v>
      </c>
    </row>
    <row r="82" spans="1:1" x14ac:dyDescent="0.25">
      <c r="A82" t="s">
        <v>492</v>
      </c>
    </row>
    <row r="83" spans="1:1" x14ac:dyDescent="0.25">
      <c r="A83" t="s">
        <v>493</v>
      </c>
    </row>
    <row r="84" spans="1:1" x14ac:dyDescent="0.25">
      <c r="A84" t="s">
        <v>439</v>
      </c>
    </row>
    <row r="86" spans="1:1" x14ac:dyDescent="0.25">
      <c r="A86" t="s">
        <v>494</v>
      </c>
    </row>
    <row r="87" spans="1:1" x14ac:dyDescent="0.25">
      <c r="A87" t="s">
        <v>495</v>
      </c>
    </row>
    <row r="89" spans="1:1" x14ac:dyDescent="0.25">
      <c r="A89" t="s">
        <v>639</v>
      </c>
    </row>
    <row r="90" spans="1:1" x14ac:dyDescent="0.25">
      <c r="A90" t="s">
        <v>640</v>
      </c>
    </row>
    <row r="92" spans="1:1" x14ac:dyDescent="0.25">
      <c r="A92" t="s">
        <v>496</v>
      </c>
    </row>
    <row r="93" spans="1:1" x14ac:dyDescent="0.25">
      <c r="A93" t="s">
        <v>641</v>
      </c>
    </row>
    <row r="95" spans="1:1" x14ac:dyDescent="0.25">
      <c r="A95" t="s">
        <v>696</v>
      </c>
    </row>
    <row r="96" spans="1:1" x14ac:dyDescent="0.25">
      <c r="A96" t="s">
        <v>794</v>
      </c>
    </row>
    <row r="98" spans="1:1" x14ac:dyDescent="0.25">
      <c r="A98" t="s">
        <v>498</v>
      </c>
    </row>
    <row r="99" spans="1:1" x14ac:dyDescent="0.25">
      <c r="A99"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69" t="s">
        <v>612</v>
      </c>
    </row>
    <row r="6" spans="1:1" x14ac:dyDescent="0.25">
      <c r="A6"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2022-12-20T00:24:52Z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