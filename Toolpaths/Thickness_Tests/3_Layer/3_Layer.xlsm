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3_Layer\"/>
    </mc:Choice>
  </mc:AlternateContent>
  <xr:revisionPtr revIDLastSave="0" documentId="13_ncr:1_{A0C00B7A-29F1-4C90-B02B-90A254DD87D1}" xr6:coauthVersionLast="47" xr6:coauthVersionMax="47" xr10:uidLastSave="{00000000-0000-0000-0000-000000000000}"/>
  <bookViews>
    <workbookView xWindow="4170" yWindow="3195"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9" i="1" l="1"/>
  <c r="K29" i="1"/>
  <c r="H29" i="1"/>
  <c r="L28" i="1"/>
  <c r="K28" i="1"/>
  <c r="I28" i="1"/>
  <c r="G28" i="1"/>
  <c r="G27" i="1"/>
  <c r="E27" i="1"/>
  <c r="L26" i="1"/>
  <c r="K26" i="1"/>
  <c r="H26" i="1"/>
  <c r="L25" i="1"/>
  <c r="K25" i="1"/>
  <c r="G25" i="1"/>
  <c r="L24" i="1"/>
  <c r="K24" i="1"/>
  <c r="H24" i="1"/>
  <c r="L23" i="1"/>
  <c r="K23" i="1"/>
  <c r="G23" i="1"/>
  <c r="T48"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<sst xmlns="http://schemas.openxmlformats.org/spreadsheetml/2006/main" count="5705" uniqueCount="874">
  <si>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</si>
  <si>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</si>
  <si>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</si>
  <si>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</si>
  <si>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</si>
  <si>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</si>
  <si>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</si>
  <si>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</si>
  <si>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</si>
  <si>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</si>
  <si>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</si>
  <si>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</si>
  <si>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</si>
  <si>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</si>
  <si>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</si>
  <si>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</si>
  <si>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</si>
  <si>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</si>
  <si>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</si>
  <si>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</si>
  <si>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</si>
  <si>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</si>
  <si>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</si>
  <si>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</si>
  <si>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</si>
  <si>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</si>
  <si>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</si>
  <si>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</si>
  <si>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</si>
  <si>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</si>
  <si>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</si>
  <si>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</si>
  <si>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</si>
  <si>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</si>
  <si>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</si>
  <si>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</si>
  <si>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</si>
  <si>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</si>
  <si>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</si>
  <si>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</si>
  <si>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</si>
  <si>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</si>
  <si>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</si>
  <si>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</si>
  <si>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</si>
  <si>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</si>
  <si>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</si>
  <si>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</si>
  <si>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</si>
  <si>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</si>
  <si>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</si>
  <si>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</si>
  <si>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</si>
  <si>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</si>
  <si>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</si>
  <si>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</si>
  <si>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</si>
  <si>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</si>
  <si>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</si>
  <si>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</si>
  <si>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</si>
  <si>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</si>
  <si>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</si>
  <si>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</si>
  <si>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</si>
  <si>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</si>
  <si>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</si>
  <si>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</si>
  <si>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</si>
  <si>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</si>
  <si>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</si>
  <si>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</si>
  <si>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</si>
  <si>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</si>
  <si>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</si>
  <si>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</si>
  <si>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</si>
  <si>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</si>
  <si>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</si>
  <si>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</si>
  <si>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</si>
  <si>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</si>
  <si>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</si>
  <si>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</si>
  <si>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</si>
  <si>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</si>
  <si>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</si>
  <si>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</si>
  <si>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</si>
  <si>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</si>
  <si>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</si>
  <si>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</si>
  <si>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</si>
  <si>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</si>
  <si>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</si>
  <si>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</si>
  <si>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</si>
  <si>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</si>
  <si>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</si>
  <si>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</si>
  <si>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</si>
  <si>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</si>
  <si>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</si>
  <si>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</si>
  <si>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</si>
  <si>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</si>
  <si>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</si>
  <si>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</si>
  <si>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</si>
  <si>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</si>
  <si>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</si>
  <si>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</si>
  <si>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</si>
  <si>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</si>
  <si>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</si>
  <si>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</si>
  <si>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</si>
  <si>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</si>
  <si>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</si>
  <si>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</si>
  <si>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</si>
  <si>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</si>
  <si>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</si>
  <si>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</si>
  <si>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</si>
  <si>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</si>
  <si>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</si>
  <si>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</si>
  <si>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</si>
  <si>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</si>
  <si>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</si>
  <si>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</si>
  <si>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</si>
  <si>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</si>
  <si>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</si>
  <si>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</si>
  <si>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</si>
  <si>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</si>
  <si>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</si>
  <si>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</si>
  <si>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</si>
  <si>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</si>
  <si>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</si>
  <si>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</si>
  <si>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</si>
  <si>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</si>
  <si>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</si>
  <si>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</si>
  <si>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</si>
  <si>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</si>
  <si>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</si>
  <si>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</si>
  <si>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</si>
  <si>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</si>
  <si>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</si>
  <si>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</si>
  <si>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</si>
  <si>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</si>
  <si>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</si>
  <si>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</si>
  <si>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</si>
  <si>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</si>
  <si>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</si>
  <si>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</si>
  <si>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</si>
  <si>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</si>
  <si>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</si>
  <si>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</si>
  <si>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</si>
  <si>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</si>
  <si>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</si>
  <si>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</si>
  <si>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</si>
  <si>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</si>
  <si>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</si>
  <si>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</si>
  <si>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</si>
  <si>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</si>
  <si>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</si>
  <si>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</si>
  <si>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</si>
  <si>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</si>
  <si>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</si>
  <si>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</si>
  <si>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</si>
  <si>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</si>
  <si>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</si>
  <si>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</si>
  <si>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</si>
  <si>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</si>
  <si>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</si>
  <si>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</si>
  <si>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</si>
  <si>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</si>
  <si>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</si>
  <si>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</si>
  <si>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</si>
  <si>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</si>
  <si>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</si>
  <si>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</si>
  <si>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</si>
  <si>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</si>
  <si>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</si>
  <si>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</si>
  <si>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</si>
  <si>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</si>
  <si>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</si>
  <si>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</si>
  <si>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</si>
  <si>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</si>
  <si>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</si>
  <si>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</si>
  <si>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</si>
  <si>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</si>
  <si>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</si>
  <si>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</si>
  <si>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</si>
  <si>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</si>
  <si>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</si>
  <si>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</si>
  <si>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</si>
  <si>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</si>
  <si>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</si>
  <si>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</si>
  <si>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</si>
  <si>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</si>
  <si>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</si>
  <si>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</si>
  <si>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</si>
  <si>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</si>
  <si>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</si>
  <si>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</si>
  <si>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</si>
  <si>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</si>
  <si>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</si>
  <si>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</si>
  <si>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</si>
  <si>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</si>
  <si>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</si>
  <si>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</si>
  <si>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</si>
  <si>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</si>
  <si>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</si>
  <si>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</si>
  <si>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</si>
  <si>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</si>
  <si>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</si>
  <si>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</si>
  <si>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</si>
  <si>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</si>
  <si>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</si>
  <si>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</si>
  <si>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</si>
  <si>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</si>
  <si>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</si>
  <si>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</si>
  <si>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</si>
  <si>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</si>
  <si>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</si>
  <si>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</si>
  <si>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</si>
  <si>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</si>
  <si>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</si>
  <si>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</si>
  <si>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</si>
  <si>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</si>
  <si>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</si>
  <si>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</si>
  <si>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</si>
  <si>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</si>
  <si>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</si>
  <si>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</si>
  <si>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</si>
  <si>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</si>
  <si>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</si>
  <si>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</si>
  <si>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</si>
  <si>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</si>
  <si>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</si>
  <si>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</si>
  <si>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</si>
  <si>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</si>
  <si>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</si>
  <si>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</si>
  <si>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</si>
  <si>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</si>
  <si>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</si>
  <si>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</si>
  <si>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</si>
  <si>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</si>
  <si>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</si>
  <si>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</si>
  <si>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</si>
  <si>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</si>
  <si>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</si>
  <si>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</si>
  <si>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</si>
  <si>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</si>
  <si>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</si>
  <si>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</si>
  <si>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</si>
  <si>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</si>
  <si>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</si>
  <si>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</si>
  <si>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</si>
  <si>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</si>
  <si>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</si>
  <si>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</si>
  <si>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</si>
  <si>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</si>
  <si>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</si>
  <si>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</si>
  <si>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</si>
  <si>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</si>
  <si>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</si>
  <si>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</si>
  <si>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</si>
  <si>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</si>
  <si>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</si>
  <si>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</si>
  <si>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</si>
  <si>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</si>
  <si>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</si>
  <si>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</si>
  <si>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</si>
  <si>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</si>
  <si>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</si>
  <si>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</si>
  <si>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</si>
  <si>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</si>
  <si>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</si>
  <si>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</si>
  <si>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</si>
  <si>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</si>
  <si>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</si>
  <si>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</si>
  <si>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</si>
  <si>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</si>
  <si>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</si>
  <si>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</si>
  <si>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</si>
  <si>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</si>
  <si>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</si>
  <si>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</si>
  <si>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</si>
  <si>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</si>
  <si>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</si>
  <si>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</si>
  <si>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</si>
  <si>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</si>
  <si>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</si>
  <si>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</si>
  <si>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</si>
  <si>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</si>
  <si>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</si>
  <si>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</si>
  <si>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</si>
  <si>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</si>
  <si>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</si>
  <si>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</si>
  <si>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</si>
  <si>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</si>
  <si>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</si>
  <si>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</si>
  <si>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</si>
  <si>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</si>
  <si>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</si>
  <si>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</si>
  <si>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</si>
  <si>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</si>
  <si>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</si>
  <si>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</si>
  <si>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</si>
  <si>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</si>
  <si>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</si>
  <si>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</si>
  <si>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</si>
  <si>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</si>
  <si>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</si>
  <si>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</si>
  <si>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</si>
  <si>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</si>
  <si>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</si>
  <si>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</si>
  <si>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</si>
  <si>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</si>
  <si>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</si>
  <si>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</si>
  <si>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</si>
  <si>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</si>
  <si>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</si>
  <si>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</si>
  <si>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</si>
  <si>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</si>
  <si>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</si>
  <si>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</si>
  <si>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</si>
  <si>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</si>
  <si>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</si>
  <si>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</si>
  <si>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</si>
  <si>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</si>
  <si>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</si>
  <si>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</si>
  <si>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</si>
  <si>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</si>
  <si>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</si>
  <si>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</si>
  <si>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</si>
  <si>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</si>
  <si>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</si>
  <si>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</si>
  <si>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</si>
  <si>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</si>
  <si>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</si>
  <si>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</si>
  <si>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</si>
  <si>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</si>
  <si>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</si>
  <si>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</si>
  <si>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</si>
  <si>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</si>
  <si>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</si>
  <si>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</si>
  <si>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</si>
  <si>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</si>
  <si>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</si>
  <si>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</si>
  <si>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</si>
  <si>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</si>
  <si>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</si>
  <si>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</si>
  <si>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</si>
  <si>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</si>
  <si>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</si>
  <si>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</si>
  <si>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</si>
  <si>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</si>
  <si>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</si>
  <si>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</si>
  <si>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</si>
  <si>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</si>
  <si>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</si>
  <si>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</si>
  <si>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</si>
  <si>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</si>
  <si>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</si>
  <si>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</si>
  <si>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</si>
  <si>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</si>
  <si>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</si>
  <si>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</si>
  <si>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</si>
  <si>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</si>
  <si>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</si>
  <si>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</si>
  <si>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</si>
  <si>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</si>
  <si>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</si>
  <si>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</si>
  <si>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</si>
  <si>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</si>
  <si>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</si>
  <si>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</si>
  <si>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</si>
  <si>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</si>
  <si>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</si>
  <si>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</si>
  <si>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</si>
  <si>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</si>
  <si>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</si>
  <si>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</si>
  <si>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</si>
  <si>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</si>
  <si>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</si>
  <si>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</si>
  <si>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</si>
  <si>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</si>
  <si>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</si>
  <si>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</si>
  <si>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</si>
  <si>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</si>
  <si>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</si>
  <si>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</si>
  <si>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</si>
  <si>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</si>
  <si>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</si>
  <si>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</si>
  <si>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</si>
  <si>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</si>
  <si>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</si>
  <si>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</si>
  <si>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</si>
  <si>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</si>
  <si>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</si>
  <si>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</si>
  <si>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</si>
  <si>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</si>
  <si>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</si>
  <si>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</si>
  <si>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</si>
  <si>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</si>
  <si>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</si>
  <si>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</si>
  <si>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</si>
  <si>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</si>
  <si>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</si>
  <si>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</si>
  <si>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</si>
  <si>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</si>
  <si>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</si>
  <si>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</si>
  <si>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</si>
  <si>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</si>
  <si>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</si>
  <si>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</si>
  <si>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</si>
  <si>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</si>
  <si>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</si>
  <si>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</si>
  <si>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</si>
  <si>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</si>
  <si>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</si>
  <si>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</si>
  <si>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</si>
  <si>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</si>
  <si>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</si>
  <si>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</si>
  <si>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</si>
  <si>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</si>
  <si>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</si>
  <si>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</si>
  <si>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</si>
  <si>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</si>
  <si>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</si>
  <si>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</si>
  <si>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</si>
  <si>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</si>
  <si>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</si>
  <si>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</si>
  <si>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</si>
  <si>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</si>
  <si>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</si>
  <si>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</si>
  <si>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</si>
  <si>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</si>
  <si>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</si>
  <si>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</si>
  <si>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</si>
  <si>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</si>
  <si>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</si>
  <si>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</si>
  <si>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</si>
  <si>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</si>
  <si>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</si>
  <si>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</si>
  <si>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</si>
  <si>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</si>
  <si>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</si>
  <si>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</si>
  <si>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</si>
  <si>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</si>
  <si>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</si>
  <si>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</si>
  <si>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</si>
  <si>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</si>
  <si>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</si>
  <si>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</si>
  <si>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</si>
  <si>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</si>
  <si>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</si>
  <si>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</si>
  <si>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</si>
  <si>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</si>
  <si>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</si>
  <si>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</si>
  <si>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</si>
  <si>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</si>
  <si>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</si>
  <si>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</si>
  <si>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</si>
  <si>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</si>
  <si>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</si>
  <si>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</si>
  <si>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</si>
  <si>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</si>
  <si>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</si>
  <si>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</si>
  <si>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</si>
  <si>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</si>
  <si>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</si>
  <si>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</si>
  <si>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</si>
  <si>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</si>
  <si>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</si>
  <si>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</si>
  <si>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</si>
  <si>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</si>
  <si>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</si>
  <si>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</si>
  <si>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</si>
  <si>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</si>
  <si>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</si>
  <si>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</si>
  <si>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</si>
  <si>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</si>
  <si>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</si>
  <si>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</si>
  <si>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</si>
  <si>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</si>
  <si>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</si>
  <si>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</si>
  <si>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</si>
  <si>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</si>
  <si>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</si>
  <si>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</si>
  <si>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</si>
  <si>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</si>
  <si>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</si>
  <si>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</si>
  <si>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</si>
  <si>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</si>
  <si>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</si>
  <si>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</si>
  <si>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</si>
  <si>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</si>
  <si>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</si>
  <si>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</si>
  <si>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</si>
  <si>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</si>
  <si>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</si>
  <si>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</si>
  <si>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</si>
  <si>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</si>
  <si>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</si>
  <si>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</si>
  <si>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</si>
  <si>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</si>
  <si>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</si>
  <si>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</si>
  <si>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</si>
  <si>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</si>
  <si>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</si>
  <si>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</si>
  <si>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</si>
  <si>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</si>
  <si>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</si>
  <si>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</si>
  <si>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</si>
  <si>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</si>
  <si>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</si>
  <si>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</si>
  <si>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</si>
  <si>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</si>
  <si>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</si>
  <si>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</si>
  <si>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</si>
  <si>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</si>
  <si>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</si>
  <si>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</si>
  <si>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</si>
  <si>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</si>
  <si>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</si>
  <si>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</si>
  <si>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</si>
  <si>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</si>
  <si>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</si>
  <si>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</si>
  <si>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</si>
  <si>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</si>
  <si>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</si>
  <si>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</si>
  <si>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</si>
  <si>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</si>
  <si>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</si>
  <si>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</si>
  <si>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</si>
  <si>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</si>
  <si>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</si>
  <si>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</si>
  <si>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</si>
  <si>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</si>
  <si>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</si>
  <si>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</si>
  <si>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</si>
  <si>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</si>
  <si>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</si>
  <si>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</si>
  <si>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</si>
  <si>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</si>
  <si>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</si>
  <si>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</si>
  <si>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</si>
  <si>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</si>
  <si>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</si>
  <si>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</si>
  <si>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</si>
  <si>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</si>
  <si>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</si>
  <si>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</si>
  <si>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</si>
  <si>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</si>
  <si>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</si>
  <si>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</si>
  <si>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</si>
  <si>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</si>
  <si>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</si>
  <si>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</si>
  <si>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</si>
  <si>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</si>
  <si>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</si>
  <si>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</si>
  <si>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</si>
  <si>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</si>
  <si>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</si>
  <si>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</si>
  <si>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</si>
  <si>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</si>
  <si>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</si>
  <si>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</si>
  <si>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</si>
  <si>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</si>
  <si>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</si>
  <si>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</si>
  <si>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</si>
  <si>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</si>
  <si>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</si>
  <si>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</si>
  <si>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</si>
  <si>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</si>
  <si>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</si>
  <si>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</si>
  <si>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</si>
  <si>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</si>
  <si>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</si>
  <si>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</si>
  <si>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</si>
  <si>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</si>
  <si>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</si>
  <si>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</si>
  <si>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</si>
  <si>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</si>
  <si>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</si>
  <si>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</si>
  <si>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</si>
  <si>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</si>
  <si>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</si>
  <si>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</si>
  <si>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</si>
  <si>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</si>
  <si>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</si>
  <si>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</si>
  <si>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</si>
  <si>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</si>
  <si>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</si>
  <si>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</si>
  <si>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</si>
  <si>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</si>
  <si>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</si>
  <si>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</si>
  <si>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</si>
  <si>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</si>
  <si>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</si>
  <si>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</si>
  <si>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</si>
  <si>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</si>
  <si>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</si>
  <si>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</si>
  <si>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</si>
  <si>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</si>
  <si>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</si>
  <si>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</si>
  <si>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</si>
  <si>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</si>
  <si>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</si>
  <si>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</si>
  <si>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</si>
  <si>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</si>
  <si>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</si>
  <si>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</si>
  <si>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</si>
  <si>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</si>
  <si>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</si>
  <si>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</si>
  <si>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</si>
  <si>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</si>
  <si>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</si>
  <si>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</si>
  <si>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</si>
  <si>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</si>
  <si>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</si>
  <si>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</si>
  <si>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</si>
  <si>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</si>
  <si>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</si>
  <si>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</si>
  <si>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</si>
  <si>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</si>
  <si>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</si>
  <si>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</si>
  <si>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</si>
  <si>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</si>
  <si>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</si>
  <si>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</si>
  <si>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</si>
  <si>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</si>
  <si>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</si>
  <si>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</si>
  <si>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</si>
  <si>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</si>
  <si>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</si>
  <si>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</si>
  <si>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</si>
  <si>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</si>
  <si>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</si>
  <si>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</si>
  <si>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</si>
  <si>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</si>
  <si>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</si>
  <si>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</si>
  <si>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</si>
  <si>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</si>
  <si>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</si>
  <si>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</si>
  <si>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</si>
  <si>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</si>
  <si>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</si>
  <si>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</si>
  <si>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</si>
  <si>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</si>
  <si>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</si>
  <si>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</si>
  <si>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</si>
  <si>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</si>
  <si>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</si>
  <si>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</si>
  <si>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</si>
  <si>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</si>
  <si>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</si>
  <si>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15</t>
  </si>
  <si>
    <t>G0 F6000.0 Z8.1</t>
  </si>
  <si>
    <t>G0 F3000 Z8.1</t>
  </si>
  <si>
    <t>set global.concretePrimeX = 205</t>
  </si>
  <si>
    <t>set global.concretePrimeLength = 70</t>
  </si>
  <si>
    <t>16-19</t>
  </si>
  <si>
    <t>16</t>
  </si>
  <si>
    <t>LineFeat12</t>
  </si>
  <si>
    <t>19</t>
  </si>
  <si>
    <t>LineFeat13</t>
  </si>
  <si>
    <t>20.1-16</t>
  </si>
  <si>
    <t>CartesianRepFeat3 of LineFeat10</t>
  </si>
  <si>
    <t>20.1-17</t>
  </si>
  <si>
    <t>CartesianRepFeat3 of LineFeat11</t>
  </si>
  <si>
    <t>20.1-18</t>
  </si>
  <si>
    <t>CartesianRepFeat3 of LineFeat12</t>
  </si>
  <si>
    <t>20.1-19</t>
  </si>
  <si>
    <t>CartesianRepFeat3 of LineFeat13</t>
  </si>
  <si>
    <t>20.2-16</t>
  </si>
  <si>
    <t>20.2-17</t>
  </si>
  <si>
    <t>20.2-18</t>
  </si>
  <si>
    <t>20.2-19</t>
  </si>
  <si>
    <t>20.3-16</t>
  </si>
  <si>
    <t>20.3-17</t>
  </si>
  <si>
    <t>20.3-18</t>
  </si>
  <si>
    <t>20.3-19</t>
  </si>
  <si>
    <t>21</t>
  </si>
  <si>
    <t>LineFeat14</t>
  </si>
  <si>
    <t>G0 F3000 X283.0 Z13.5</t>
  </si>
  <si>
    <t>22</t>
  </si>
  <si>
    <t>LineFeat15</t>
  </si>
  <si>
    <t>G0 Y108.0</t>
  </si>
  <si>
    <t>G1 X225.0 E0.510291</t>
  </si>
  <si>
    <t>G1 X275.0 E0.510291</t>
  </si>
  <si>
    <t>G1 F500 X225.0 E0.510291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</si>
</sst>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1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17" activePane="bottomLeft" state="frozen"/>
      <selection activeCell="G268" sqref="G268"/>
      <selection pane="bottomLeft" activeCell="B8" sqref="B8:O29"/>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3"/>
      <c r="C1" s="114"/>
      <c r="D1" s="114"/>
      <c r="E1" s="114"/>
      <c r="F1" s="114"/>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803</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810</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804</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811</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1</v>
      </c>
      <c r="C23" s="77" t="s">
        <v>18</v>
      </c>
      <c r="D23" s="2" t="s">
        <v>100</v>
      </c>
      <c r="E23" s="2" t="s">
        <v>100</v>
      </c>
      <c r="F23" s="2" t="s">
        <v>100</v>
      </c>
      <c r="G23" s="2" t="str">
        <f>CONCATENATE("R-",Length)</f>
        <v>R-50</v>
      </c>
      <c r="H23" s="2" t="s">
        <v>100</v>
      </c>
      <c r="I23" s="2" t="s">
        <v>100</v>
      </c>
      <c r="J23" s="2" t="s">
        <v>19</v>
      </c>
      <c r="K23" s="2">
        <f>ConcreteExtrusionWidth</f>
        <v>3.75</v>
      </c>
      <c r="L23" s="2">
        <f>ConcreteExtrusionHeight</f>
        <v>3.42</v>
      </c>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77" t="s">
        <v>18</v>
      </c>
      <c r="D24" s="2" t="s">
        <v>100</v>
      </c>
      <c r="E24" s="2" t="s">
        <v>100</v>
      </c>
      <c r="F24" s="2" t="s">
        <v>100</v>
      </c>
      <c r="G24" s="2" t="s">
        <v>100</v>
      </c>
      <c r="H24" s="2" t="str">
        <f>CONCATENATE("R-",ConcreteExtrusionSpacing)</f>
        <v>R-4</v>
      </c>
      <c r="I24" s="2" t="s">
        <v>100</v>
      </c>
      <c r="J24" s="2" t="s">
        <v>19</v>
      </c>
      <c r="K24" s="2">
        <f>ConcreteExtrusionWidth</f>
        <v>3.75</v>
      </c>
      <c r="L24" s="2">
        <f>ConcreteExtrusionHeight</f>
        <v>3.42</v>
      </c>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77" t="s">
        <v>18</v>
      </c>
      <c r="D25" s="2" t="s">
        <v>100</v>
      </c>
      <c r="E25" s="2" t="s">
        <v>100</v>
      </c>
      <c r="F25" s="2" t="s">
        <v>100</v>
      </c>
      <c r="G25" s="2" t="str">
        <f>CONCATENATE("R",Length)</f>
        <v>R50</v>
      </c>
      <c r="H25" s="2" t="s">
        <v>100</v>
      </c>
      <c r="I25" s="2" t="s">
        <v>100</v>
      </c>
      <c r="J25" s="2" t="s">
        <v>19</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t="s">
        <v>1</v>
      </c>
      <c r="C26" s="77" t="s">
        <v>18</v>
      </c>
      <c r="D26" s="2" t="s">
        <v>100</v>
      </c>
      <c r="E26" s="2" t="s">
        <v>100</v>
      </c>
      <c r="F26" s="2" t="s">
        <v>100</v>
      </c>
      <c r="G26" s="2" t="s">
        <v>100</v>
      </c>
      <c r="H26" s="2" t="str">
        <f>CONCATENATE("R-",ConcreteExtrusionSpacing)</f>
        <v>R-4</v>
      </c>
      <c r="I26" s="2" t="s">
        <v>100</v>
      </c>
      <c r="J26" s="2" t="s">
        <v>19</v>
      </c>
      <c r="K26" s="2">
        <f>ConcreteExtrusionWidth</f>
        <v>3.75</v>
      </c>
      <c r="L26" s="2">
        <f>ConcreteExtrusionHeight</f>
        <v>3.42</v>
      </c>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t="s">
        <v>55</v>
      </c>
      <c r="C27" s="77" t="s">
        <v>844</v>
      </c>
      <c r="D27" s="2">
        <v>0</v>
      </c>
      <c r="E27" s="2">
        <f>-(2*ConcreteExtrusionSpacing)</f>
        <v>-8</v>
      </c>
      <c r="F27" s="2">
        <v>0</v>
      </c>
      <c r="G27" s="2">
        <f>FLOOR(Width/(2*ConcreteExtrusionSpacing),1)-1</f>
        <v>3</v>
      </c>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t="s">
        <v>1</v>
      </c>
      <c r="C28" s="2" t="s">
        <v>18</v>
      </c>
      <c r="D28" s="2" t="s">
        <v>100</v>
      </c>
      <c r="E28" s="2" t="s">
        <v>100</v>
      </c>
      <c r="F28" s="2" t="s">
        <v>100</v>
      </c>
      <c r="G28" s="2" t="str">
        <f>CONCATENATE("R", 2*ConcreteExtrusionSpacing)</f>
        <v>R8</v>
      </c>
      <c r="H28" s="2" t="s">
        <v>100</v>
      </c>
      <c r="I28" s="2" t="str">
        <f>CONCATENATE("R", 2*ConcreteLayerHeight)</f>
        <v>R5.4</v>
      </c>
      <c r="J28" s="2" t="s">
        <v>23</v>
      </c>
      <c r="K28" s="2">
        <f>ConcreteExtrusionWidth</f>
        <v>3.75</v>
      </c>
      <c r="L28" s="2">
        <f>ConcreteExtrusionHeight</f>
        <v>3.42</v>
      </c>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t="s">
        <v>1</v>
      </c>
      <c r="C29" s="2" t="s">
        <v>18</v>
      </c>
      <c r="D29" s="2" t="s">
        <v>100</v>
      </c>
      <c r="E29" s="2" t="s">
        <v>100</v>
      </c>
      <c r="F29" s="2" t="s">
        <v>100</v>
      </c>
      <c r="G29" s="2" t="s">
        <v>100</v>
      </c>
      <c r="H29" s="2" t="str">
        <f>CONCATENATE("R", 2*ConcreteExtrusionSpacing+Width)</f>
        <v>R40</v>
      </c>
      <c r="I29" s="2" t="s">
        <v>100</v>
      </c>
      <c r="J29" s="2" t="s">
        <v>23</v>
      </c>
      <c r="K29" s="2">
        <f>ConcreteExtrusionWidth</f>
        <v>3.75</v>
      </c>
      <c r="L29" s="2">
        <f>ConcreteExtrusionHeight</f>
        <v>3.42</v>
      </c>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c r="C30" s="77"/>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91"/>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3*ConcreteLayerHeight</f>
        <v>8.1000000000000014</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800</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8.1000000000000014</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8.1000000000000014</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5" t="s">
        <v>342</v>
      </c>
      <c r="D13" s="115"/>
      <c r="E13" s="115"/>
      <c r="F13" s="115"/>
      <c r="G13" s="115"/>
      <c r="H13" s="115"/>
      <c r="I13" s="115"/>
      <c r="J13" s="115"/>
      <c r="K13" s="115"/>
      <c r="L13" s="115"/>
      <c r="M13" s="115"/>
      <c r="N13" s="115"/>
      <c r="S13" s="5" t="s">
        <v>85</v>
      </c>
      <c r="T13" s="5">
        <v>1000</v>
      </c>
      <c r="U13" s="5" t="s">
        <v>45</v>
      </c>
    </row>
    <row r="14" spans="1:46" x14ac:dyDescent="0.25">
      <c r="A14" s="2">
        <v>10</v>
      </c>
      <c r="C14" s="115" t="s">
        <v>336</v>
      </c>
      <c r="D14" s="115"/>
      <c r="E14" s="115"/>
      <c r="F14" s="115"/>
      <c r="G14" s="115"/>
      <c r="H14" s="115"/>
      <c r="I14" s="115"/>
      <c r="J14" s="115"/>
      <c r="K14" s="115"/>
      <c r="L14" s="115"/>
      <c r="M14" s="115"/>
      <c r="N14" s="115"/>
      <c r="S14" s="5" t="s">
        <v>86</v>
      </c>
      <c r="T14" s="5">
        <v>9000</v>
      </c>
      <c r="U14" s="5" t="s">
        <v>45</v>
      </c>
    </row>
    <row r="15" spans="1:46" x14ac:dyDescent="0.25">
      <c r="A15" s="2">
        <v>11</v>
      </c>
      <c r="C15" s="115" t="s">
        <v>337</v>
      </c>
      <c r="D15" s="115"/>
      <c r="E15" s="115"/>
      <c r="F15" s="115"/>
      <c r="G15" s="115"/>
      <c r="H15" s="115"/>
      <c r="I15" s="115"/>
      <c r="J15" s="115"/>
      <c r="K15" s="115"/>
      <c r="L15" s="115"/>
      <c r="M15" s="115"/>
      <c r="N15" s="115"/>
      <c r="S15" s="5" t="s">
        <v>41</v>
      </c>
      <c r="T15" s="5">
        <v>210</v>
      </c>
      <c r="U15" s="5" t="s">
        <v>43</v>
      </c>
      <c r="V15" s="1"/>
    </row>
    <row r="16" spans="1:46" x14ac:dyDescent="0.25">
      <c r="A16" s="2">
        <v>12</v>
      </c>
      <c r="C16" s="115" t="s">
        <v>550</v>
      </c>
      <c r="D16" s="115"/>
      <c r="E16" s="115"/>
      <c r="F16" s="115"/>
      <c r="G16" s="115"/>
      <c r="H16" s="115"/>
      <c r="I16" s="115"/>
      <c r="J16" s="115"/>
      <c r="K16" s="115"/>
      <c r="L16" s="115"/>
      <c r="M16" s="115"/>
      <c r="N16" s="115"/>
      <c r="S16" s="5" t="s">
        <v>42</v>
      </c>
      <c r="T16" s="5">
        <v>2.85</v>
      </c>
      <c r="U16" s="5" t="s">
        <v>44</v>
      </c>
    </row>
    <row r="17" spans="1:22" x14ac:dyDescent="0.25">
      <c r="A17" s="2">
        <v>13</v>
      </c>
      <c r="C17" s="115" t="s">
        <v>551</v>
      </c>
      <c r="D17" s="115"/>
      <c r="E17" s="115"/>
      <c r="F17" s="115"/>
      <c r="G17" s="115"/>
      <c r="H17" s="115"/>
      <c r="I17" s="115"/>
      <c r="J17" s="115"/>
      <c r="K17" s="115"/>
      <c r="L17" s="115"/>
      <c r="M17" s="115"/>
      <c r="N17" s="115"/>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4.0500000000000007</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6" t="s">
        <v>141</v>
      </c>
      <c r="H21" s="116"/>
      <c r="I21" s="116"/>
      <c r="J21" s="116"/>
      <c r="K21" s="116"/>
      <c r="L21" s="116"/>
      <c r="M21" s="116"/>
      <c r="N21" s="116"/>
      <c r="O21" s="116"/>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7" t="s">
        <v>247</v>
      </c>
      <c r="E42" s="117"/>
      <c r="F42" s="117"/>
      <c r="G42" s="117"/>
      <c r="H42" s="117"/>
      <c r="I42" s="117"/>
      <c r="J42" s="117"/>
      <c r="K42" s="117"/>
      <c r="L42" s="117"/>
      <c r="M42" s="117"/>
      <c r="N42" s="117"/>
      <c r="O42" s="117"/>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60"/>
  <sheetViews>
    <sheetView zoomScale="75" zoomScaleNormal="85" workbookViewId="0">
      <selection activeCell="O1" sqref="O1:O60"/>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801</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827</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871</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828</v>
      </c>
    </row>
    <row r="7" spans="1:17" x14ac:dyDescent="0.25">
      <c r="A7" t="s">
        <v>19</v>
      </c>
      <c r="B7">
        <v>225</v>
      </c>
      <c r="C7">
        <v>96</v>
      </c>
      <c r="D7">
        <v>0</v>
      </c>
      <c r="E7">
        <v>275</v>
      </c>
      <c r="F7">
        <v>96</v>
      </c>
      <c r="G7">
        <v>0</v>
      </c>
      <c r="H7">
        <v>3.75</v>
      </c>
      <c r="I7">
        <v>3.42</v>
      </c>
      <c r="J7">
        <v>0.51029053628838994</v>
      </c>
      <c r="K7">
        <v>500</v>
      </c>
      <c r="L7">
        <v>0</v>
      </c>
      <c r="N7">
        <v>5</v>
      </c>
      <c r="O7" s="48" t="s">
        <v>695</v>
      </c>
      <c r="P7" t="s">
        <v>716</v>
      </c>
      <c r="Q7" t="s">
        <v>872</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829</v>
      </c>
    </row>
    <row r="9" spans="1:17" x14ac:dyDescent="0.25">
      <c r="A9" t="s">
        <v>19</v>
      </c>
      <c r="B9">
        <v>275</v>
      </c>
      <c r="C9">
        <v>92</v>
      </c>
      <c r="D9">
        <v>0</v>
      </c>
      <c r="E9">
        <v>225</v>
      </c>
      <c r="F9">
        <v>92</v>
      </c>
      <c r="G9">
        <v>0</v>
      </c>
      <c r="H9">
        <v>3.75</v>
      </c>
      <c r="I9">
        <v>3.42</v>
      </c>
      <c r="J9">
        <v>0.51029053628838994</v>
      </c>
      <c r="K9">
        <v>500</v>
      </c>
      <c r="L9">
        <v>0</v>
      </c>
      <c r="N9">
        <v>7</v>
      </c>
      <c r="O9" s="48" t="s">
        <v>718</v>
      </c>
      <c r="P9" t="s">
        <v>719</v>
      </c>
      <c r="Q9" t="s">
        <v>871</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830</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872</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831</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871</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832</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872</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833</v>
      </c>
    </row>
    <row r="17" spans="1:17" x14ac:dyDescent="0.25">
      <c r="A17" t="s">
        <v>19</v>
      </c>
      <c r="B17">
        <v>275</v>
      </c>
      <c r="C17">
        <v>76</v>
      </c>
      <c r="D17">
        <v>0</v>
      </c>
      <c r="E17">
        <v>225</v>
      </c>
      <c r="F17">
        <v>76</v>
      </c>
      <c r="G17">
        <v>0</v>
      </c>
      <c r="H17">
        <v>3.75</v>
      </c>
      <c r="I17">
        <v>3.42</v>
      </c>
      <c r="J17">
        <v>0.51029053628838994</v>
      </c>
      <c r="K17">
        <v>500</v>
      </c>
      <c r="L17">
        <v>0</v>
      </c>
      <c r="N17">
        <v>7</v>
      </c>
      <c r="O17" s="48" t="s">
        <v>796</v>
      </c>
      <c r="P17" t="s">
        <v>719</v>
      </c>
      <c r="Q17" t="s">
        <v>871</v>
      </c>
    </row>
    <row r="18" spans="1:17" x14ac:dyDescent="0.25">
      <c r="A18" t="s">
        <v>19</v>
      </c>
      <c r="B18">
        <v>225</v>
      </c>
      <c r="C18">
        <v>76</v>
      </c>
      <c r="D18">
        <v>0</v>
      </c>
      <c r="E18">
        <v>225</v>
      </c>
      <c r="F18">
        <v>72</v>
      </c>
      <c r="G18">
        <v>0</v>
      </c>
      <c r="H18">
        <v>3.75</v>
      </c>
      <c r="I18">
        <v>3.42</v>
      </c>
      <c r="J18">
        <v>4.0823242903071197E-2</v>
      </c>
      <c r="K18">
        <v>500</v>
      </c>
      <c r="L18">
        <v>0</v>
      </c>
      <c r="N18">
        <v>7</v>
      </c>
      <c r="O18" s="48" t="s">
        <v>797</v>
      </c>
      <c r="P18" t="s">
        <v>721</v>
      </c>
      <c r="Q18" t="s">
        <v>834</v>
      </c>
    </row>
    <row r="19" spans="1:17" x14ac:dyDescent="0.25">
      <c r="A19" t="s">
        <v>19</v>
      </c>
      <c r="B19">
        <v>225</v>
      </c>
      <c r="C19">
        <v>72</v>
      </c>
      <c r="D19">
        <v>0</v>
      </c>
      <c r="E19">
        <v>275</v>
      </c>
      <c r="F19">
        <v>72</v>
      </c>
      <c r="G19">
        <v>0</v>
      </c>
      <c r="H19">
        <v>3.75</v>
      </c>
      <c r="I19">
        <v>3.42</v>
      </c>
      <c r="J19">
        <v>0.51029053628838994</v>
      </c>
      <c r="K19">
        <v>500</v>
      </c>
      <c r="L19">
        <v>0</v>
      </c>
      <c r="N19">
        <v>7</v>
      </c>
      <c r="O19" s="48" t="s">
        <v>798</v>
      </c>
      <c r="P19" t="s">
        <v>723</v>
      </c>
      <c r="Q19" t="s">
        <v>872</v>
      </c>
    </row>
    <row r="20" spans="1:17" x14ac:dyDescent="0.25">
      <c r="A20" t="s">
        <v>19</v>
      </c>
      <c r="B20">
        <v>275</v>
      </c>
      <c r="C20">
        <v>72</v>
      </c>
      <c r="D20">
        <v>0</v>
      </c>
      <c r="E20">
        <v>275</v>
      </c>
      <c r="F20">
        <v>68</v>
      </c>
      <c r="G20">
        <v>0</v>
      </c>
      <c r="H20">
        <v>3.75</v>
      </c>
      <c r="I20">
        <v>3.42</v>
      </c>
      <c r="J20">
        <v>4.0823242903071197E-2</v>
      </c>
      <c r="K20">
        <v>500</v>
      </c>
      <c r="L20">
        <v>0</v>
      </c>
      <c r="N20">
        <v>7</v>
      </c>
      <c r="O20" s="48" t="s">
        <v>799</v>
      </c>
      <c r="P20" t="s">
        <v>725</v>
      </c>
      <c r="Q20" t="s">
        <v>835</v>
      </c>
    </row>
    <row r="21" spans="1:17" x14ac:dyDescent="0.25">
      <c r="A21" t="s">
        <v>39</v>
      </c>
      <c r="B21">
        <v>0</v>
      </c>
      <c r="C21">
        <v>0</v>
      </c>
      <c r="N21">
        <v>9</v>
      </c>
      <c r="O21" s="48" t="s">
        <v>730</v>
      </c>
      <c r="P21" t="s">
        <v>805</v>
      </c>
      <c r="Q21" t="s">
        <v>806</v>
      </c>
    </row>
    <row r="22" spans="1:17" x14ac:dyDescent="0.25">
      <c r="A22" t="s">
        <v>807</v>
      </c>
      <c r="B22">
        <v>2.7</v>
      </c>
      <c r="C22">
        <v>6000</v>
      </c>
      <c r="N22">
        <v>9</v>
      </c>
      <c r="O22" s="48" t="s">
        <v>730</v>
      </c>
      <c r="P22" t="s">
        <v>805</v>
      </c>
      <c r="Q22" t="s">
        <v>824</v>
      </c>
    </row>
    <row r="23" spans="1:17" x14ac:dyDescent="0.25">
      <c r="A23" t="s">
        <v>23</v>
      </c>
      <c r="B23">
        <v>275</v>
      </c>
      <c r="C23">
        <v>68</v>
      </c>
      <c r="D23">
        <v>0</v>
      </c>
      <c r="E23">
        <v>275</v>
      </c>
      <c r="F23">
        <v>68</v>
      </c>
      <c r="G23">
        <v>2.7</v>
      </c>
      <c r="H23">
        <v>0</v>
      </c>
      <c r="I23">
        <v>0</v>
      </c>
      <c r="K23">
        <v>3000</v>
      </c>
      <c r="N23">
        <v>0</v>
      </c>
      <c r="O23" s="48">
        <v>0</v>
      </c>
      <c r="P23" t="s">
        <v>659</v>
      </c>
      <c r="Q23" t="s">
        <v>825</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836</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871</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833</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872</v>
      </c>
    </row>
    <row r="28" spans="1:17" x14ac:dyDescent="0.25">
      <c r="A28" t="s">
        <v>19</v>
      </c>
      <c r="B28">
        <v>275</v>
      </c>
      <c r="C28">
        <v>76</v>
      </c>
      <c r="D28">
        <v>2.7</v>
      </c>
      <c r="E28">
        <v>275</v>
      </c>
      <c r="F28">
        <v>80</v>
      </c>
      <c r="G28">
        <v>2.7</v>
      </c>
      <c r="H28">
        <v>3.75</v>
      </c>
      <c r="I28">
        <v>3.42</v>
      </c>
      <c r="J28">
        <v>4.0823242903071197E-2</v>
      </c>
      <c r="K28">
        <v>500</v>
      </c>
      <c r="L28">
        <v>0</v>
      </c>
      <c r="N28">
        <v>14</v>
      </c>
      <c r="O28" s="48" t="s">
        <v>812</v>
      </c>
      <c r="P28" t="s">
        <v>808</v>
      </c>
      <c r="Q28" t="s">
        <v>832</v>
      </c>
    </row>
    <row r="29" spans="1:17" x14ac:dyDescent="0.25">
      <c r="A29" t="s">
        <v>19</v>
      </c>
      <c r="B29">
        <v>275</v>
      </c>
      <c r="C29">
        <v>80</v>
      </c>
      <c r="D29">
        <v>2.7</v>
      </c>
      <c r="E29">
        <v>225</v>
      </c>
      <c r="F29">
        <v>80</v>
      </c>
      <c r="G29">
        <v>2.7</v>
      </c>
      <c r="H29">
        <v>3.75</v>
      </c>
      <c r="I29">
        <v>3.42</v>
      </c>
      <c r="J29">
        <v>0.51029053628838994</v>
      </c>
      <c r="K29">
        <v>500</v>
      </c>
      <c r="L29">
        <v>0</v>
      </c>
      <c r="N29">
        <v>14</v>
      </c>
      <c r="O29" s="48" t="s">
        <v>813</v>
      </c>
      <c r="P29" t="s">
        <v>809</v>
      </c>
      <c r="Q29" t="s">
        <v>871</v>
      </c>
    </row>
    <row r="30" spans="1:17" x14ac:dyDescent="0.25">
      <c r="A30" t="s">
        <v>19</v>
      </c>
      <c r="B30">
        <v>225</v>
      </c>
      <c r="C30">
        <v>80</v>
      </c>
      <c r="D30">
        <v>2.7</v>
      </c>
      <c r="E30">
        <v>225</v>
      </c>
      <c r="F30">
        <v>84</v>
      </c>
      <c r="G30">
        <v>2.7</v>
      </c>
      <c r="H30">
        <v>3.75</v>
      </c>
      <c r="I30">
        <v>3.42</v>
      </c>
      <c r="J30">
        <v>4.0823242903071197E-2</v>
      </c>
      <c r="K30">
        <v>500</v>
      </c>
      <c r="L30">
        <v>0</v>
      </c>
      <c r="N30">
        <v>14</v>
      </c>
      <c r="O30" s="48" t="s">
        <v>814</v>
      </c>
      <c r="P30" t="s">
        <v>738</v>
      </c>
      <c r="Q30" t="s">
        <v>831</v>
      </c>
    </row>
    <row r="31" spans="1:17" x14ac:dyDescent="0.25">
      <c r="A31" t="s">
        <v>19</v>
      </c>
      <c r="B31">
        <v>225</v>
      </c>
      <c r="C31">
        <v>84</v>
      </c>
      <c r="D31">
        <v>2.7</v>
      </c>
      <c r="E31">
        <v>275</v>
      </c>
      <c r="F31">
        <v>84</v>
      </c>
      <c r="G31">
        <v>2.7</v>
      </c>
      <c r="H31">
        <v>3.75</v>
      </c>
      <c r="I31">
        <v>3.42</v>
      </c>
      <c r="J31">
        <v>0.51029053628838994</v>
      </c>
      <c r="K31">
        <v>500</v>
      </c>
      <c r="L31">
        <v>0</v>
      </c>
      <c r="N31">
        <v>14</v>
      </c>
      <c r="O31" s="48" t="s">
        <v>815</v>
      </c>
      <c r="P31" t="s">
        <v>739</v>
      </c>
      <c r="Q31" t="s">
        <v>872</v>
      </c>
    </row>
    <row r="32" spans="1:17" x14ac:dyDescent="0.25">
      <c r="A32" t="s">
        <v>19</v>
      </c>
      <c r="B32">
        <v>275</v>
      </c>
      <c r="C32">
        <v>84</v>
      </c>
      <c r="D32">
        <v>2.7</v>
      </c>
      <c r="E32">
        <v>275</v>
      </c>
      <c r="F32">
        <v>88</v>
      </c>
      <c r="G32">
        <v>2.7</v>
      </c>
      <c r="H32">
        <v>3.75</v>
      </c>
      <c r="I32">
        <v>3.42</v>
      </c>
      <c r="J32">
        <v>4.0823242903071197E-2</v>
      </c>
      <c r="K32">
        <v>500</v>
      </c>
      <c r="L32">
        <v>0</v>
      </c>
      <c r="N32">
        <v>14</v>
      </c>
      <c r="O32" s="48" t="s">
        <v>816</v>
      </c>
      <c r="P32" t="s">
        <v>808</v>
      </c>
      <c r="Q32" t="s">
        <v>830</v>
      </c>
    </row>
    <row r="33" spans="1:17" x14ac:dyDescent="0.25">
      <c r="A33" t="s">
        <v>19</v>
      </c>
      <c r="B33">
        <v>275</v>
      </c>
      <c r="C33">
        <v>88</v>
      </c>
      <c r="D33">
        <v>2.7</v>
      </c>
      <c r="E33">
        <v>225</v>
      </c>
      <c r="F33">
        <v>88</v>
      </c>
      <c r="G33">
        <v>2.7</v>
      </c>
      <c r="H33">
        <v>3.75</v>
      </c>
      <c r="I33">
        <v>3.42</v>
      </c>
      <c r="J33">
        <v>0.51029053628838994</v>
      </c>
      <c r="K33">
        <v>500</v>
      </c>
      <c r="L33">
        <v>0</v>
      </c>
      <c r="N33">
        <v>14</v>
      </c>
      <c r="O33" s="48" t="s">
        <v>817</v>
      </c>
      <c r="P33" t="s">
        <v>809</v>
      </c>
      <c r="Q33" t="s">
        <v>871</v>
      </c>
    </row>
    <row r="34" spans="1:17" x14ac:dyDescent="0.25">
      <c r="A34" t="s">
        <v>19</v>
      </c>
      <c r="B34">
        <v>225</v>
      </c>
      <c r="C34">
        <v>88</v>
      </c>
      <c r="D34">
        <v>2.7</v>
      </c>
      <c r="E34">
        <v>225</v>
      </c>
      <c r="F34">
        <v>92</v>
      </c>
      <c r="G34">
        <v>2.7</v>
      </c>
      <c r="H34">
        <v>3.75</v>
      </c>
      <c r="I34">
        <v>3.42</v>
      </c>
      <c r="J34">
        <v>4.0823242903071197E-2</v>
      </c>
      <c r="K34">
        <v>500</v>
      </c>
      <c r="L34">
        <v>0</v>
      </c>
      <c r="N34">
        <v>14</v>
      </c>
      <c r="O34" s="48" t="s">
        <v>818</v>
      </c>
      <c r="P34" t="s">
        <v>738</v>
      </c>
      <c r="Q34" t="s">
        <v>829</v>
      </c>
    </row>
    <row r="35" spans="1:17" x14ac:dyDescent="0.25">
      <c r="A35" t="s">
        <v>19</v>
      </c>
      <c r="B35">
        <v>225</v>
      </c>
      <c r="C35">
        <v>92</v>
      </c>
      <c r="D35">
        <v>2.7</v>
      </c>
      <c r="E35">
        <v>275</v>
      </c>
      <c r="F35">
        <v>92</v>
      </c>
      <c r="G35">
        <v>2.7</v>
      </c>
      <c r="H35">
        <v>3.75</v>
      </c>
      <c r="I35">
        <v>3.42</v>
      </c>
      <c r="J35">
        <v>0.51029053628838994</v>
      </c>
      <c r="K35">
        <v>500</v>
      </c>
      <c r="L35">
        <v>0</v>
      </c>
      <c r="N35">
        <v>14</v>
      </c>
      <c r="O35" s="48" t="s">
        <v>819</v>
      </c>
      <c r="P35" t="s">
        <v>739</v>
      </c>
      <c r="Q35" t="s">
        <v>872</v>
      </c>
    </row>
    <row r="36" spans="1:17" x14ac:dyDescent="0.25">
      <c r="A36" t="s">
        <v>19</v>
      </c>
      <c r="B36">
        <v>275</v>
      </c>
      <c r="C36">
        <v>92</v>
      </c>
      <c r="D36">
        <v>2.7</v>
      </c>
      <c r="E36">
        <v>275</v>
      </c>
      <c r="F36">
        <v>96</v>
      </c>
      <c r="G36">
        <v>2.7</v>
      </c>
      <c r="H36">
        <v>3.75</v>
      </c>
      <c r="I36">
        <v>3.42</v>
      </c>
      <c r="J36">
        <v>4.0823242903071197E-2</v>
      </c>
      <c r="K36">
        <v>500</v>
      </c>
      <c r="L36">
        <v>0</v>
      </c>
      <c r="N36">
        <v>14</v>
      </c>
      <c r="O36" s="48" t="s">
        <v>820</v>
      </c>
      <c r="P36" t="s">
        <v>808</v>
      </c>
      <c r="Q36" t="s">
        <v>828</v>
      </c>
    </row>
    <row r="37" spans="1:17" x14ac:dyDescent="0.25">
      <c r="A37" t="s">
        <v>19</v>
      </c>
      <c r="B37">
        <v>275</v>
      </c>
      <c r="C37">
        <v>96</v>
      </c>
      <c r="D37">
        <v>2.7</v>
      </c>
      <c r="E37">
        <v>225</v>
      </c>
      <c r="F37">
        <v>96</v>
      </c>
      <c r="G37">
        <v>2.7</v>
      </c>
      <c r="H37">
        <v>3.75</v>
      </c>
      <c r="I37">
        <v>3.42</v>
      </c>
      <c r="J37">
        <v>0.51029053628838994</v>
      </c>
      <c r="K37">
        <v>500</v>
      </c>
      <c r="L37">
        <v>0</v>
      </c>
      <c r="N37">
        <v>14</v>
      </c>
      <c r="O37" s="48" t="s">
        <v>821</v>
      </c>
      <c r="P37" t="s">
        <v>809</v>
      </c>
      <c r="Q37" t="s">
        <v>871</v>
      </c>
    </row>
    <row r="38" spans="1:17" x14ac:dyDescent="0.25">
      <c r="A38" t="s">
        <v>19</v>
      </c>
      <c r="B38">
        <v>225</v>
      </c>
      <c r="C38">
        <v>96</v>
      </c>
      <c r="D38">
        <v>2.7</v>
      </c>
      <c r="E38">
        <v>225</v>
      </c>
      <c r="F38">
        <v>100</v>
      </c>
      <c r="G38">
        <v>2.7</v>
      </c>
      <c r="H38">
        <v>3.75</v>
      </c>
      <c r="I38">
        <v>3.42</v>
      </c>
      <c r="J38">
        <v>4.0823242903071197E-2</v>
      </c>
      <c r="K38">
        <v>500</v>
      </c>
      <c r="L38">
        <v>0</v>
      </c>
      <c r="N38">
        <v>14</v>
      </c>
      <c r="O38" s="48" t="s">
        <v>822</v>
      </c>
      <c r="P38" t="s">
        <v>738</v>
      </c>
      <c r="Q38" t="s">
        <v>837</v>
      </c>
    </row>
    <row r="39" spans="1:17" x14ac:dyDescent="0.25">
      <c r="A39" t="s">
        <v>19</v>
      </c>
      <c r="B39">
        <v>225</v>
      </c>
      <c r="C39">
        <v>100</v>
      </c>
      <c r="D39">
        <v>2.7</v>
      </c>
      <c r="E39">
        <v>275</v>
      </c>
      <c r="F39">
        <v>100</v>
      </c>
      <c r="G39">
        <v>2.7</v>
      </c>
      <c r="H39">
        <v>3.75</v>
      </c>
      <c r="I39">
        <v>3.42</v>
      </c>
      <c r="J39">
        <v>0.51029053628838994</v>
      </c>
      <c r="K39">
        <v>500</v>
      </c>
      <c r="L39">
        <v>0</v>
      </c>
      <c r="N39">
        <v>14</v>
      </c>
      <c r="O39" s="48" t="s">
        <v>823</v>
      </c>
      <c r="P39" t="s">
        <v>739</v>
      </c>
      <c r="Q39" t="s">
        <v>872</v>
      </c>
    </row>
    <row r="40" spans="1:17" x14ac:dyDescent="0.25">
      <c r="A40" t="s">
        <v>39</v>
      </c>
      <c r="B40">
        <v>0</v>
      </c>
      <c r="C40">
        <v>0</v>
      </c>
      <c r="N40">
        <v>15</v>
      </c>
      <c r="O40" s="48" t="s">
        <v>839</v>
      </c>
      <c r="P40" t="s">
        <v>826</v>
      </c>
      <c r="Q40" t="s">
        <v>806</v>
      </c>
    </row>
    <row r="41" spans="1:17" x14ac:dyDescent="0.25">
      <c r="A41" t="s">
        <v>807</v>
      </c>
      <c r="B41">
        <v>2.7</v>
      </c>
      <c r="C41">
        <v>6000</v>
      </c>
      <c r="N41">
        <v>15</v>
      </c>
      <c r="O41" s="48" t="s">
        <v>839</v>
      </c>
      <c r="P41" t="s">
        <v>826</v>
      </c>
      <c r="Q41" t="s">
        <v>840</v>
      </c>
    </row>
    <row r="42" spans="1:17" x14ac:dyDescent="0.25">
      <c r="A42" t="s">
        <v>23</v>
      </c>
      <c r="B42">
        <v>275</v>
      </c>
      <c r="C42">
        <v>100</v>
      </c>
      <c r="D42">
        <v>2.7</v>
      </c>
      <c r="E42">
        <v>275</v>
      </c>
      <c r="F42">
        <v>100</v>
      </c>
      <c r="G42">
        <v>5.4</v>
      </c>
      <c r="H42">
        <v>0</v>
      </c>
      <c r="I42">
        <v>0</v>
      </c>
      <c r="K42">
        <v>3000</v>
      </c>
      <c r="N42">
        <v>0</v>
      </c>
      <c r="O42" s="48">
        <v>0</v>
      </c>
      <c r="P42" t="s">
        <v>659</v>
      </c>
      <c r="Q42" t="s">
        <v>841</v>
      </c>
    </row>
    <row r="43" spans="1:17" x14ac:dyDescent="0.25">
      <c r="A43" t="s">
        <v>19</v>
      </c>
      <c r="B43">
        <v>275</v>
      </c>
      <c r="C43">
        <v>100</v>
      </c>
      <c r="D43">
        <v>5.4</v>
      </c>
      <c r="E43">
        <v>225</v>
      </c>
      <c r="F43">
        <v>100</v>
      </c>
      <c r="G43">
        <v>5.4</v>
      </c>
      <c r="H43">
        <v>3.75</v>
      </c>
      <c r="I43">
        <v>3.42</v>
      </c>
      <c r="J43">
        <v>0.51029053628838994</v>
      </c>
      <c r="K43">
        <v>500</v>
      </c>
      <c r="L43">
        <v>0</v>
      </c>
      <c r="N43">
        <v>16</v>
      </c>
      <c r="O43" s="48" t="s">
        <v>845</v>
      </c>
      <c r="P43" t="s">
        <v>740</v>
      </c>
      <c r="Q43" t="s">
        <v>873</v>
      </c>
    </row>
    <row r="44" spans="1:17" x14ac:dyDescent="0.25">
      <c r="A44" t="s">
        <v>19</v>
      </c>
      <c r="B44">
        <v>225</v>
      </c>
      <c r="C44">
        <v>100</v>
      </c>
      <c r="D44">
        <v>5.4</v>
      </c>
      <c r="E44">
        <v>225</v>
      </c>
      <c r="F44">
        <v>96</v>
      </c>
      <c r="G44">
        <v>5.4</v>
      </c>
      <c r="H44">
        <v>3.75</v>
      </c>
      <c r="I44">
        <v>3.42</v>
      </c>
      <c r="J44">
        <v>4.0823242903071197E-2</v>
      </c>
      <c r="K44">
        <v>500</v>
      </c>
      <c r="L44">
        <v>0</v>
      </c>
      <c r="N44">
        <v>17</v>
      </c>
      <c r="O44" s="48" t="s">
        <v>741</v>
      </c>
      <c r="P44" t="s">
        <v>742</v>
      </c>
      <c r="Q44" t="s">
        <v>828</v>
      </c>
    </row>
    <row r="45" spans="1:17" x14ac:dyDescent="0.25">
      <c r="A45" t="s">
        <v>19</v>
      </c>
      <c r="B45">
        <v>225</v>
      </c>
      <c r="C45">
        <v>96</v>
      </c>
      <c r="D45">
        <v>5.4</v>
      </c>
      <c r="E45">
        <v>275</v>
      </c>
      <c r="F45">
        <v>96</v>
      </c>
      <c r="G45">
        <v>5.4</v>
      </c>
      <c r="H45">
        <v>3.75</v>
      </c>
      <c r="I45">
        <v>3.42</v>
      </c>
      <c r="J45">
        <v>0.51029053628838994</v>
      </c>
      <c r="K45">
        <v>500</v>
      </c>
      <c r="L45">
        <v>0</v>
      </c>
      <c r="N45">
        <v>18</v>
      </c>
      <c r="O45" s="48" t="s">
        <v>743</v>
      </c>
      <c r="P45" t="s">
        <v>846</v>
      </c>
      <c r="Q45" t="s">
        <v>872</v>
      </c>
    </row>
    <row r="46" spans="1:17" x14ac:dyDescent="0.25">
      <c r="A46" t="s">
        <v>19</v>
      </c>
      <c r="B46">
        <v>275</v>
      </c>
      <c r="C46">
        <v>96</v>
      </c>
      <c r="D46">
        <v>5.4</v>
      </c>
      <c r="E46">
        <v>275</v>
      </c>
      <c r="F46">
        <v>92</v>
      </c>
      <c r="G46">
        <v>5.4</v>
      </c>
      <c r="H46">
        <v>3.75</v>
      </c>
      <c r="I46">
        <v>3.42</v>
      </c>
      <c r="J46">
        <v>4.0823242903071197E-2</v>
      </c>
      <c r="K46">
        <v>500</v>
      </c>
      <c r="L46">
        <v>0</v>
      </c>
      <c r="N46">
        <v>19</v>
      </c>
      <c r="O46" s="48" t="s">
        <v>847</v>
      </c>
      <c r="P46" t="s">
        <v>848</v>
      </c>
      <c r="Q46" t="s">
        <v>829</v>
      </c>
    </row>
    <row r="47" spans="1:17" x14ac:dyDescent="0.25">
      <c r="A47" t="s">
        <v>19</v>
      </c>
      <c r="B47">
        <v>275</v>
      </c>
      <c r="C47">
        <v>92</v>
      </c>
      <c r="D47">
        <v>5.4</v>
      </c>
      <c r="E47">
        <v>225</v>
      </c>
      <c r="F47">
        <v>92</v>
      </c>
      <c r="G47">
        <v>5.4</v>
      </c>
      <c r="H47">
        <v>3.75</v>
      </c>
      <c r="I47">
        <v>3.42</v>
      </c>
      <c r="J47">
        <v>0.51029053628838994</v>
      </c>
      <c r="K47">
        <v>500</v>
      </c>
      <c r="L47">
        <v>0</v>
      </c>
      <c r="N47">
        <v>20</v>
      </c>
      <c r="O47" s="48" t="s">
        <v>849</v>
      </c>
      <c r="P47" t="s">
        <v>850</v>
      </c>
      <c r="Q47" t="s">
        <v>871</v>
      </c>
    </row>
    <row r="48" spans="1:17" x14ac:dyDescent="0.25">
      <c r="A48" t="s">
        <v>19</v>
      </c>
      <c r="B48">
        <v>225</v>
      </c>
      <c r="C48">
        <v>92</v>
      </c>
      <c r="D48">
        <v>5.4</v>
      </c>
      <c r="E48">
        <v>225</v>
      </c>
      <c r="F48">
        <v>88</v>
      </c>
      <c r="G48">
        <v>5.4</v>
      </c>
      <c r="H48">
        <v>3.75</v>
      </c>
      <c r="I48">
        <v>3.42</v>
      </c>
      <c r="J48">
        <v>4.0823242903071197E-2</v>
      </c>
      <c r="K48">
        <v>500</v>
      </c>
      <c r="L48">
        <v>0</v>
      </c>
      <c r="N48">
        <v>20</v>
      </c>
      <c r="O48" s="48" t="s">
        <v>851</v>
      </c>
      <c r="P48" t="s">
        <v>852</v>
      </c>
      <c r="Q48" t="s">
        <v>830</v>
      </c>
    </row>
    <row r="49" spans="1:17" x14ac:dyDescent="0.25">
      <c r="A49" t="s">
        <v>19</v>
      </c>
      <c r="B49">
        <v>225</v>
      </c>
      <c r="C49">
        <v>88</v>
      </c>
      <c r="D49">
        <v>5.4</v>
      </c>
      <c r="E49">
        <v>275</v>
      </c>
      <c r="F49">
        <v>88</v>
      </c>
      <c r="G49">
        <v>5.4</v>
      </c>
      <c r="H49">
        <v>3.75</v>
      </c>
      <c r="I49">
        <v>3.42</v>
      </c>
      <c r="J49">
        <v>0.51029053628838994</v>
      </c>
      <c r="K49">
        <v>500</v>
      </c>
      <c r="L49">
        <v>0</v>
      </c>
      <c r="N49">
        <v>20</v>
      </c>
      <c r="O49" s="48" t="s">
        <v>853</v>
      </c>
      <c r="P49" t="s">
        <v>854</v>
      </c>
      <c r="Q49" t="s">
        <v>872</v>
      </c>
    </row>
    <row r="50" spans="1:17" x14ac:dyDescent="0.25">
      <c r="A50" t="s">
        <v>19</v>
      </c>
      <c r="B50">
        <v>275</v>
      </c>
      <c r="C50">
        <v>88</v>
      </c>
      <c r="D50">
        <v>5.4</v>
      </c>
      <c r="E50">
        <v>275</v>
      </c>
      <c r="F50">
        <v>84</v>
      </c>
      <c r="G50">
        <v>5.4</v>
      </c>
      <c r="H50">
        <v>3.75</v>
      </c>
      <c r="I50">
        <v>3.42</v>
      </c>
      <c r="J50">
        <v>4.0823242903071197E-2</v>
      </c>
      <c r="K50">
        <v>500</v>
      </c>
      <c r="L50">
        <v>0</v>
      </c>
      <c r="N50">
        <v>20</v>
      </c>
      <c r="O50" s="48" t="s">
        <v>855</v>
      </c>
      <c r="P50" t="s">
        <v>856</v>
      </c>
      <c r="Q50" t="s">
        <v>831</v>
      </c>
    </row>
    <row r="51" spans="1:17" x14ac:dyDescent="0.25">
      <c r="A51" t="s">
        <v>19</v>
      </c>
      <c r="B51">
        <v>275</v>
      </c>
      <c r="C51">
        <v>84</v>
      </c>
      <c r="D51">
        <v>5.4</v>
      </c>
      <c r="E51">
        <v>225</v>
      </c>
      <c r="F51">
        <v>84</v>
      </c>
      <c r="G51">
        <v>5.4</v>
      </c>
      <c r="H51">
        <v>3.75</v>
      </c>
      <c r="I51">
        <v>3.42</v>
      </c>
      <c r="J51">
        <v>0.51029053628838994</v>
      </c>
      <c r="K51">
        <v>500</v>
      </c>
      <c r="L51">
        <v>0</v>
      </c>
      <c r="N51">
        <v>20</v>
      </c>
      <c r="O51" s="48" t="s">
        <v>857</v>
      </c>
      <c r="P51" t="s">
        <v>850</v>
      </c>
      <c r="Q51" t="s">
        <v>871</v>
      </c>
    </row>
    <row r="52" spans="1:17" x14ac:dyDescent="0.25">
      <c r="A52" t="s">
        <v>19</v>
      </c>
      <c r="B52">
        <v>225</v>
      </c>
      <c r="C52">
        <v>84</v>
      </c>
      <c r="D52">
        <v>5.4</v>
      </c>
      <c r="E52">
        <v>225</v>
      </c>
      <c r="F52">
        <v>80</v>
      </c>
      <c r="G52">
        <v>5.4</v>
      </c>
      <c r="H52">
        <v>3.75</v>
      </c>
      <c r="I52">
        <v>3.42</v>
      </c>
      <c r="J52">
        <v>4.0823242903071197E-2</v>
      </c>
      <c r="K52">
        <v>500</v>
      </c>
      <c r="L52">
        <v>0</v>
      </c>
      <c r="N52">
        <v>20</v>
      </c>
      <c r="O52" s="48" t="s">
        <v>858</v>
      </c>
      <c r="P52" t="s">
        <v>852</v>
      </c>
      <c r="Q52" t="s">
        <v>832</v>
      </c>
    </row>
    <row r="53" spans="1:17" x14ac:dyDescent="0.25">
      <c r="A53" t="s">
        <v>19</v>
      </c>
      <c r="B53">
        <v>225</v>
      </c>
      <c r="C53">
        <v>80</v>
      </c>
      <c r="D53">
        <v>5.4</v>
      </c>
      <c r="E53">
        <v>275</v>
      </c>
      <c r="F53">
        <v>80</v>
      </c>
      <c r="G53">
        <v>5.4</v>
      </c>
      <c r="H53">
        <v>3.75</v>
      </c>
      <c r="I53">
        <v>3.42</v>
      </c>
      <c r="J53">
        <v>0.51029053628838994</v>
      </c>
      <c r="K53">
        <v>500</v>
      </c>
      <c r="L53">
        <v>0</v>
      </c>
      <c r="N53">
        <v>20</v>
      </c>
      <c r="O53" s="48" t="s">
        <v>859</v>
      </c>
      <c r="P53" t="s">
        <v>854</v>
      </c>
      <c r="Q53" t="s">
        <v>872</v>
      </c>
    </row>
    <row r="54" spans="1:17" x14ac:dyDescent="0.25">
      <c r="A54" t="s">
        <v>19</v>
      </c>
      <c r="B54">
        <v>275</v>
      </c>
      <c r="C54">
        <v>80</v>
      </c>
      <c r="D54">
        <v>5.4</v>
      </c>
      <c r="E54">
        <v>275</v>
      </c>
      <c r="F54">
        <v>76</v>
      </c>
      <c r="G54">
        <v>5.4</v>
      </c>
      <c r="H54">
        <v>3.75</v>
      </c>
      <c r="I54">
        <v>3.42</v>
      </c>
      <c r="J54">
        <v>4.0823242903071197E-2</v>
      </c>
      <c r="K54">
        <v>500</v>
      </c>
      <c r="L54">
        <v>0</v>
      </c>
      <c r="N54">
        <v>20</v>
      </c>
      <c r="O54" s="48" t="s">
        <v>860</v>
      </c>
      <c r="P54" t="s">
        <v>856</v>
      </c>
      <c r="Q54" t="s">
        <v>833</v>
      </c>
    </row>
    <row r="55" spans="1:17" x14ac:dyDescent="0.25">
      <c r="A55" t="s">
        <v>19</v>
      </c>
      <c r="B55">
        <v>275</v>
      </c>
      <c r="C55">
        <v>76</v>
      </c>
      <c r="D55">
        <v>5.4</v>
      </c>
      <c r="E55">
        <v>225</v>
      </c>
      <c r="F55">
        <v>76</v>
      </c>
      <c r="G55">
        <v>5.4</v>
      </c>
      <c r="H55">
        <v>3.75</v>
      </c>
      <c r="I55">
        <v>3.42</v>
      </c>
      <c r="J55">
        <v>0.51029053628838994</v>
      </c>
      <c r="K55">
        <v>500</v>
      </c>
      <c r="L55">
        <v>0</v>
      </c>
      <c r="N55">
        <v>20</v>
      </c>
      <c r="O55" s="48" t="s">
        <v>861</v>
      </c>
      <c r="P55" t="s">
        <v>850</v>
      </c>
      <c r="Q55" t="s">
        <v>871</v>
      </c>
    </row>
    <row r="56" spans="1:17" x14ac:dyDescent="0.25">
      <c r="A56" t="s">
        <v>19</v>
      </c>
      <c r="B56">
        <v>225</v>
      </c>
      <c r="C56">
        <v>76</v>
      </c>
      <c r="D56">
        <v>5.4</v>
      </c>
      <c r="E56">
        <v>225</v>
      </c>
      <c r="F56">
        <v>72</v>
      </c>
      <c r="G56">
        <v>5.4</v>
      </c>
      <c r="H56">
        <v>3.75</v>
      </c>
      <c r="I56">
        <v>3.42</v>
      </c>
      <c r="J56">
        <v>4.0823242903071197E-2</v>
      </c>
      <c r="K56">
        <v>500</v>
      </c>
      <c r="L56">
        <v>0</v>
      </c>
      <c r="N56">
        <v>20</v>
      </c>
      <c r="O56" s="48" t="s">
        <v>862</v>
      </c>
      <c r="P56" t="s">
        <v>852</v>
      </c>
      <c r="Q56" t="s">
        <v>834</v>
      </c>
    </row>
    <row r="57" spans="1:17" x14ac:dyDescent="0.25">
      <c r="A57" t="s">
        <v>19</v>
      </c>
      <c r="B57">
        <v>225</v>
      </c>
      <c r="C57">
        <v>72</v>
      </c>
      <c r="D57">
        <v>5.4</v>
      </c>
      <c r="E57">
        <v>275</v>
      </c>
      <c r="F57">
        <v>72</v>
      </c>
      <c r="G57">
        <v>5.4</v>
      </c>
      <c r="H57">
        <v>3.75</v>
      </c>
      <c r="I57">
        <v>3.42</v>
      </c>
      <c r="J57">
        <v>0.51029053628838994</v>
      </c>
      <c r="K57">
        <v>500</v>
      </c>
      <c r="L57">
        <v>0</v>
      </c>
      <c r="N57">
        <v>20</v>
      </c>
      <c r="O57" s="48" t="s">
        <v>863</v>
      </c>
      <c r="P57" t="s">
        <v>854</v>
      </c>
      <c r="Q57" t="s">
        <v>872</v>
      </c>
    </row>
    <row r="58" spans="1:17" x14ac:dyDescent="0.25">
      <c r="A58" t="s">
        <v>19</v>
      </c>
      <c r="B58">
        <v>275</v>
      </c>
      <c r="C58">
        <v>72</v>
      </c>
      <c r="D58">
        <v>5.4</v>
      </c>
      <c r="E58">
        <v>275</v>
      </c>
      <c r="F58">
        <v>68</v>
      </c>
      <c r="G58">
        <v>5.4</v>
      </c>
      <c r="H58">
        <v>3.75</v>
      </c>
      <c r="I58">
        <v>3.42</v>
      </c>
      <c r="J58">
        <v>4.0823242903071197E-2</v>
      </c>
      <c r="K58">
        <v>500</v>
      </c>
      <c r="L58">
        <v>0</v>
      </c>
      <c r="N58">
        <v>20</v>
      </c>
      <c r="O58" s="48" t="s">
        <v>864</v>
      </c>
      <c r="P58" t="s">
        <v>856</v>
      </c>
      <c r="Q58" t="s">
        <v>835</v>
      </c>
    </row>
    <row r="59" spans="1:17" x14ac:dyDescent="0.25">
      <c r="A59" t="s">
        <v>23</v>
      </c>
      <c r="B59">
        <v>275</v>
      </c>
      <c r="C59">
        <v>68</v>
      </c>
      <c r="D59">
        <v>5.4</v>
      </c>
      <c r="E59">
        <v>283</v>
      </c>
      <c r="F59">
        <v>68</v>
      </c>
      <c r="G59">
        <v>10.8</v>
      </c>
      <c r="H59">
        <v>0</v>
      </c>
      <c r="I59">
        <v>0</v>
      </c>
      <c r="J59">
        <v>0</v>
      </c>
      <c r="K59">
        <v>3000</v>
      </c>
      <c r="L59">
        <v>0</v>
      </c>
      <c r="N59">
        <v>21</v>
      </c>
      <c r="O59" s="48" t="s">
        <v>865</v>
      </c>
      <c r="P59" t="s">
        <v>866</v>
      </c>
      <c r="Q59" t="s">
        <v>867</v>
      </c>
    </row>
    <row r="60" spans="1:17" x14ac:dyDescent="0.25">
      <c r="A60" t="s">
        <v>23</v>
      </c>
      <c r="B60">
        <v>283</v>
      </c>
      <c r="C60">
        <v>68</v>
      </c>
      <c r="D60">
        <v>10.8</v>
      </c>
      <c r="E60">
        <v>283</v>
      </c>
      <c r="F60">
        <v>108</v>
      </c>
      <c r="G60">
        <v>10.8</v>
      </c>
      <c r="H60">
        <v>0</v>
      </c>
      <c r="I60">
        <v>0</v>
      </c>
      <c r="J60">
        <v>0</v>
      </c>
      <c r="K60">
        <v>3000</v>
      </c>
      <c r="L60">
        <v>0</v>
      </c>
      <c r="N60">
        <v>22</v>
      </c>
      <c r="O60" s="48" t="s">
        <v>868</v>
      </c>
      <c r="P60" t="s">
        <v>869</v>
      </c>
      <c r="Q60" t="s">
        <v>870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15"/>
  <sheetViews>
    <sheetView zoomScale="71" zoomScaleNormal="71" workbookViewId="0">
      <selection sqref="A1:A115"/>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842</v>
      </c>
    </row>
    <row r="16" spans="1:1" x14ac:dyDescent="0.25">
      <c r="A16" t="s">
        <v>795</v>
      </c>
    </row>
    <row r="17" spans="1:1" x14ac:dyDescent="0.25">
      <c r="A17" t="s">
        <v>802</v>
      </c>
    </row>
    <row r="18" spans="1:1" x14ac:dyDescent="0.25">
      <c r="A18" t="s">
        <v>843</v>
      </c>
    </row>
    <row r="19" spans="1:1" x14ac:dyDescent="0.25">
      <c r="A19" t="s">
        <v>838</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801</v>
      </c>
    </row>
    <row r="37" spans="1:1" x14ac:dyDescent="0.25">
      <c r="A37" t="s">
        <v>827</v>
      </c>
    </row>
    <row r="38" spans="1:1" x14ac:dyDescent="0.25">
      <c r="A38" t="s">
        <v>871</v>
      </c>
    </row>
    <row r="39" spans="1:1" x14ac:dyDescent="0.25">
      <c r="A39" t="s">
        <v>828</v>
      </c>
    </row>
    <row r="40" spans="1:1" x14ac:dyDescent="0.25">
      <c r="A40" t="s">
        <v>872</v>
      </c>
    </row>
    <row r="41" spans="1:1" x14ac:dyDescent="0.25">
      <c r="A41" t="s">
        <v>829</v>
      </c>
    </row>
    <row r="42" spans="1:1" x14ac:dyDescent="0.25">
      <c r="A42" t="s">
        <v>871</v>
      </c>
    </row>
    <row r="43" spans="1:1" x14ac:dyDescent="0.25">
      <c r="A43" t="s">
        <v>830</v>
      </c>
    </row>
    <row r="44" spans="1:1" x14ac:dyDescent="0.25">
      <c r="A44" t="s">
        <v>872</v>
      </c>
    </row>
    <row r="45" spans="1:1" x14ac:dyDescent="0.25">
      <c r="A45" t="s">
        <v>831</v>
      </c>
    </row>
    <row r="46" spans="1:1" x14ac:dyDescent="0.25">
      <c r="A46" t="s">
        <v>871</v>
      </c>
    </row>
    <row r="47" spans="1:1" x14ac:dyDescent="0.25">
      <c r="A47" t="s">
        <v>832</v>
      </c>
    </row>
    <row r="48" spans="1:1" x14ac:dyDescent="0.25">
      <c r="A48" t="s">
        <v>872</v>
      </c>
    </row>
    <row r="49" spans="1:1" x14ac:dyDescent="0.25">
      <c r="A49" t="s">
        <v>833</v>
      </c>
    </row>
    <row r="50" spans="1:1" x14ac:dyDescent="0.25">
      <c r="A50" t="s">
        <v>871</v>
      </c>
    </row>
    <row r="51" spans="1:1" x14ac:dyDescent="0.25">
      <c r="A51" t="s">
        <v>834</v>
      </c>
    </row>
    <row r="52" spans="1:1" x14ac:dyDescent="0.25">
      <c r="A52" t="s">
        <v>872</v>
      </c>
    </row>
    <row r="53" spans="1:1" x14ac:dyDescent="0.25">
      <c r="A53" t="s">
        <v>835</v>
      </c>
    </row>
    <row r="54" spans="1:1" x14ac:dyDescent="0.25">
      <c r="A54" t="s">
        <v>806</v>
      </c>
    </row>
    <row r="55" spans="1:1" x14ac:dyDescent="0.25">
      <c r="A55" t="s">
        <v>824</v>
      </c>
    </row>
    <row r="56" spans="1:1" x14ac:dyDescent="0.25">
      <c r="A56" t="s">
        <v>825</v>
      </c>
    </row>
    <row r="57" spans="1:1" x14ac:dyDescent="0.25">
      <c r="A57" t="s">
        <v>836</v>
      </c>
    </row>
    <row r="58" spans="1:1" x14ac:dyDescent="0.25">
      <c r="A58" t="s">
        <v>871</v>
      </c>
    </row>
    <row r="59" spans="1:1" x14ac:dyDescent="0.25">
      <c r="A59" t="s">
        <v>833</v>
      </c>
    </row>
    <row r="60" spans="1:1" x14ac:dyDescent="0.25">
      <c r="A60" t="s">
        <v>872</v>
      </c>
    </row>
    <row r="61" spans="1:1" x14ac:dyDescent="0.25">
      <c r="A61" t="s">
        <v>832</v>
      </c>
    </row>
    <row r="62" spans="1:1" x14ac:dyDescent="0.25">
      <c r="A62" t="s">
        <v>871</v>
      </c>
    </row>
    <row r="63" spans="1:1" x14ac:dyDescent="0.25">
      <c r="A63" t="s">
        <v>831</v>
      </c>
    </row>
    <row r="64" spans="1:1" x14ac:dyDescent="0.25">
      <c r="A64" t="s">
        <v>872</v>
      </c>
    </row>
    <row r="65" spans="1:1" x14ac:dyDescent="0.25">
      <c r="A65" t="s">
        <v>830</v>
      </c>
    </row>
    <row r="66" spans="1:1" x14ac:dyDescent="0.25">
      <c r="A66" t="s">
        <v>871</v>
      </c>
    </row>
    <row r="67" spans="1:1" x14ac:dyDescent="0.25">
      <c r="A67" t="s">
        <v>829</v>
      </c>
    </row>
    <row r="68" spans="1:1" x14ac:dyDescent="0.25">
      <c r="A68" t="s">
        <v>872</v>
      </c>
    </row>
    <row r="69" spans="1:1" x14ac:dyDescent="0.25">
      <c r="A69" t="s">
        <v>828</v>
      </c>
    </row>
    <row r="70" spans="1:1" x14ac:dyDescent="0.25">
      <c r="A70" t="s">
        <v>871</v>
      </c>
    </row>
    <row r="71" spans="1:1" x14ac:dyDescent="0.25">
      <c r="A71" t="s">
        <v>837</v>
      </c>
    </row>
    <row r="72" spans="1:1" x14ac:dyDescent="0.25">
      <c r="A72" t="s">
        <v>872</v>
      </c>
    </row>
    <row r="73" spans="1:1" x14ac:dyDescent="0.25">
      <c r="A73" t="s">
        <v>806</v>
      </c>
    </row>
    <row r="74" spans="1:1" x14ac:dyDescent="0.25">
      <c r="A74" t="s">
        <v>840</v>
      </c>
    </row>
    <row r="75" spans="1:1" x14ac:dyDescent="0.25">
      <c r="A75" t="s">
        <v>841</v>
      </c>
    </row>
    <row r="76" spans="1:1" x14ac:dyDescent="0.25">
      <c r="A76" t="s">
        <v>873</v>
      </c>
    </row>
    <row r="77" spans="1:1" x14ac:dyDescent="0.25">
      <c r="A77" t="s">
        <v>828</v>
      </c>
    </row>
    <row r="78" spans="1:1" x14ac:dyDescent="0.25">
      <c r="A78" t="s">
        <v>872</v>
      </c>
    </row>
    <row r="79" spans="1:1" x14ac:dyDescent="0.25">
      <c r="A79" t="s">
        <v>829</v>
      </c>
    </row>
    <row r="80" spans="1:1" x14ac:dyDescent="0.25">
      <c r="A80" t="s">
        <v>871</v>
      </c>
    </row>
    <row r="81" spans="1:1" x14ac:dyDescent="0.25">
      <c r="A81" t="s">
        <v>830</v>
      </c>
    </row>
    <row r="82" spans="1:1" x14ac:dyDescent="0.25">
      <c r="A82" t="s">
        <v>872</v>
      </c>
    </row>
    <row r="83" spans="1:1" x14ac:dyDescent="0.25">
      <c r="A83" t="s">
        <v>831</v>
      </c>
    </row>
    <row r="84" spans="1:1" x14ac:dyDescent="0.25">
      <c r="A84" t="s">
        <v>871</v>
      </c>
    </row>
    <row r="85" spans="1:1" x14ac:dyDescent="0.25">
      <c r="A85" t="s">
        <v>832</v>
      </c>
    </row>
    <row r="86" spans="1:1" x14ac:dyDescent="0.25">
      <c r="A86" t="s">
        <v>872</v>
      </c>
    </row>
    <row r="87" spans="1:1" x14ac:dyDescent="0.25">
      <c r="A87" t="s">
        <v>833</v>
      </c>
    </row>
    <row r="88" spans="1:1" x14ac:dyDescent="0.25">
      <c r="A88" t="s">
        <v>871</v>
      </c>
    </row>
    <row r="89" spans="1:1" x14ac:dyDescent="0.25">
      <c r="A89" t="s">
        <v>834</v>
      </c>
    </row>
    <row r="90" spans="1:1" x14ac:dyDescent="0.25">
      <c r="A90" t="s">
        <v>872</v>
      </c>
    </row>
    <row r="91" spans="1:1" x14ac:dyDescent="0.25">
      <c r="A91" t="s">
        <v>835</v>
      </c>
    </row>
    <row r="92" spans="1:1" x14ac:dyDescent="0.25">
      <c r="A92" t="s">
        <v>867</v>
      </c>
    </row>
    <row r="93" spans="1:1" x14ac:dyDescent="0.25">
      <c r="A93" t="s">
        <v>870</v>
      </c>
    </row>
    <row r="95" spans="1:1" x14ac:dyDescent="0.25">
      <c r="A95" t="s">
        <v>638</v>
      </c>
    </row>
    <row r="97" spans="1:1" x14ac:dyDescent="0.25">
      <c r="A97" t="s">
        <v>491</v>
      </c>
    </row>
    <row r="98" spans="1:1" x14ac:dyDescent="0.25">
      <c r="A98" t="s">
        <v>492</v>
      </c>
    </row>
    <row r="99" spans="1:1" x14ac:dyDescent="0.25">
      <c r="A99" t="s">
        <v>493</v>
      </c>
    </row>
    <row r="100" spans="1:1" x14ac:dyDescent="0.25">
      <c r="A100" t="s">
        <v>439</v>
      </c>
    </row>
    <row r="102" spans="1:1" x14ac:dyDescent="0.25">
      <c r="A102" t="s">
        <v>494</v>
      </c>
    </row>
    <row r="103" spans="1:1" x14ac:dyDescent="0.25">
      <c r="A103" t="s">
        <v>495</v>
      </c>
    </row>
    <row r="105" spans="1:1" x14ac:dyDescent="0.25">
      <c r="A105" t="s">
        <v>639</v>
      </c>
    </row>
    <row r="106" spans="1:1" x14ac:dyDescent="0.25">
      <c r="A106" t="s">
        <v>640</v>
      </c>
    </row>
    <row r="108" spans="1:1" x14ac:dyDescent="0.25">
      <c r="A108" t="s">
        <v>496</v>
      </c>
    </row>
    <row r="109" spans="1:1" x14ac:dyDescent="0.25">
      <c r="A109" t="s">
        <v>641</v>
      </c>
    </row>
    <row r="111" spans="1:1" x14ac:dyDescent="0.25">
      <c r="A111" t="s">
        <v>696</v>
      </c>
    </row>
    <row r="112" spans="1:1" x14ac:dyDescent="0.25">
      <c r="A112" t="s">
        <v>794</v>
      </c>
    </row>
    <row r="114" spans="1:1" x14ac:dyDescent="0.25">
      <c r="A114" t="s">
        <v>498</v>
      </c>
    </row>
    <row r="115" spans="1:1" x14ac:dyDescent="0.25">
      <c r="A11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