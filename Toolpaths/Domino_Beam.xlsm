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
    </mc:Choice>
  </mc:AlternateContent>
  <xr:revisionPtr revIDLastSave="0" documentId="13_ncr:1_{19CE8ECD-568C-4C91-9844-28F9CFF0E397}" xr6:coauthVersionLast="47" xr6:coauthVersionMax="47" xr10:uidLastSave="{00000000-0000-0000-0000-000000000000}"/>
  <bookViews>
    <workbookView xWindow="-120" yWindow="-120" windowWidth="51840" windowHeight="2139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amPerimeterWidth">'Main Sheet'!$T$58</definedName>
    <definedName name="BedTemp">'Main Sheet'!$T$15</definedName>
    <definedName name="ConcreteBaseLayers">'Main Sheet'!$T$55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ConcreteSidePerimeters">'Main Sheet'!$T$57</definedName>
    <definedName name="ConcreteTopLayers">'Main Sheet'!$T$56</definedName>
    <definedName name="DominoLength">'Main Sheet'!$T$59</definedName>
    <definedName name="DominoPerimeterWidth">'Main Sheet'!$T$60</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6" i="1" l="1"/>
  <c r="I31" i="1"/>
  <c r="L31" i="1"/>
  <c r="K31" i="1"/>
  <c r="H31" i="1"/>
  <c r="G31" i="1"/>
  <c r="E31" i="1"/>
  <c r="I26" i="1"/>
  <c r="G26" i="1"/>
  <c r="L24" i="1"/>
  <c r="K24" i="1"/>
  <c r="H24" i="1"/>
  <c r="L23" i="1"/>
  <c r="K23" i="1"/>
  <c r="I23" i="1"/>
  <c r="G23" i="1"/>
  <c r="L78" i="1"/>
  <c r="K78" i="1"/>
  <c r="H78" i="1"/>
  <c r="L77" i="1"/>
  <c r="K77" i="1"/>
  <c r="I77" i="1"/>
  <c r="G77" i="1"/>
  <c r="G76" i="1"/>
  <c r="F76" i="1"/>
  <c r="E75" i="1"/>
  <c r="G74" i="1"/>
  <c r="E74" i="1"/>
  <c r="L73" i="1"/>
  <c r="K73" i="1"/>
  <c r="G73" i="1"/>
  <c r="L72" i="1"/>
  <c r="K72" i="1"/>
  <c r="H72" i="1"/>
  <c r="L71" i="1"/>
  <c r="K71" i="1"/>
  <c r="G71" i="1"/>
  <c r="L70" i="1"/>
  <c r="K70" i="1"/>
  <c r="H70" i="1"/>
  <c r="E69" i="1"/>
  <c r="G68" i="1"/>
  <c r="E68" i="1"/>
  <c r="L67" i="1"/>
  <c r="K67" i="1"/>
  <c r="H67" i="1"/>
  <c r="L66" i="1"/>
  <c r="K66" i="1"/>
  <c r="G66" i="1"/>
  <c r="L65" i="1"/>
  <c r="K65" i="1"/>
  <c r="H65" i="1"/>
  <c r="L64" i="1"/>
  <c r="K64" i="1"/>
  <c r="G64" i="1"/>
  <c r="H63" i="1"/>
  <c r="G61" i="1"/>
  <c r="H60" i="1"/>
  <c r="G59" i="1"/>
  <c r="E58" i="1"/>
  <c r="G57" i="1" a="1"/>
  <c r="G57" i="1" s="1"/>
  <c r="E57" i="1"/>
  <c r="L56" i="1"/>
  <c r="K56" i="1"/>
  <c r="H56" i="1"/>
  <c r="L55" i="1"/>
  <c r="K55" i="1"/>
  <c r="G55" i="1"/>
  <c r="L54" i="1"/>
  <c r="K54" i="1"/>
  <c r="H54" i="1"/>
  <c r="L53" i="1"/>
  <c r="K53" i="1"/>
  <c r="G53" i="1"/>
  <c r="G52" i="1"/>
  <c r="E50" i="1"/>
  <c r="H49" i="1"/>
  <c r="G48" i="1"/>
  <c r="E47" i="1"/>
  <c r="G22" i="1"/>
  <c r="F22" i="1"/>
  <c r="E21" i="1"/>
  <c r="I15" i="1" l="1"/>
  <c r="G46" i="1"/>
  <c r="E46" i="1"/>
  <c r="L45" i="1"/>
  <c r="K45" i="1"/>
  <c r="H45" i="1"/>
  <c r="L44" i="1"/>
  <c r="K44" i="1"/>
  <c r="G44" i="1"/>
  <c r="L43" i="1"/>
  <c r="K43" i="1"/>
  <c r="H43" i="1"/>
  <c r="L42" i="1"/>
  <c r="K42" i="1"/>
  <c r="G42" i="1"/>
  <c r="G20" i="1"/>
  <c r="G41" i="1" a="1"/>
  <c r="G41" i="1" s="1"/>
  <c r="G39" i="1"/>
  <c r="G37" i="1"/>
  <c r="E41" i="1"/>
  <c r="L40" i="1"/>
  <c r="K40" i="1"/>
  <c r="H40" i="1"/>
  <c r="L39" i="1"/>
  <c r="K39" i="1"/>
  <c r="L38" i="1"/>
  <c r="K38" i="1"/>
  <c r="H38" i="1"/>
  <c r="L37" i="1"/>
  <c r="K37" i="1"/>
  <c r="G36" i="1"/>
  <c r="E36" i="1"/>
  <c r="L35" i="1"/>
  <c r="K35" i="1"/>
  <c r="H35" i="1"/>
  <c r="L34" i="1"/>
  <c r="K34" i="1"/>
  <c r="G34" i="1"/>
  <c r="L33" i="1"/>
  <c r="K33" i="1"/>
  <c r="H33" i="1"/>
  <c r="L32" i="1"/>
  <c r="K32" i="1"/>
  <c r="G32" i="1"/>
  <c r="E20" i="1"/>
  <c r="L19" i="1"/>
  <c r="K19" i="1"/>
  <c r="G19" i="1"/>
  <c r="L18" i="1"/>
  <c r="K18" i="1"/>
  <c r="H18" i="1"/>
  <c r="L17" i="1"/>
  <c r="K17" i="1"/>
  <c r="G17" i="1"/>
  <c r="L16" i="1"/>
  <c r="K16" i="1"/>
  <c r="H16" i="1"/>
  <c r="G14" i="1"/>
  <c r="B20" i="4"/>
  <c r="T42" i="1"/>
  <c r="T51" i="1" l="1"/>
  <c r="D31" i="1" s="1"/>
  <c r="T49"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<sst xmlns="http://schemas.openxmlformats.org/spreadsheetml/2006/main" count="6384" uniqueCount="1051">
  <si>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</si>
  <si>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</si>
  <si>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</si>
  <si>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</si>
  <si>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</si>
  <si>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</si>
  <si>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</si>
  <si>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</si>
  <si>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</si>
  <si>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</si>
  <si>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</si>
  <si>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</si>
  <si>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</si>
  <si>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</si>
  <si>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</si>
  <si>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</si>
  <si>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</si>
  <si>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</si>
  <si>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</si>
  <si>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</si>
  <si>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</si>
  <si>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</si>
  <si>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</si>
  <si>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</si>
  <si>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</si>
  <si>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</si>
  <si>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</si>
  <si>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</si>
  <si>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</si>
  <si>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</si>
  <si>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</si>
  <si>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</si>
  <si>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</si>
  <si>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</si>
  <si>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</si>
  <si>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</si>
  <si>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</si>
  <si>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</si>
  <si>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</si>
  <si>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</si>
  <si>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</si>
  <si>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</si>
  <si>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</si>
  <si>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</si>
  <si>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</si>
  <si>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</si>
  <si>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</si>
  <si>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</si>
  <si>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</si>
  <si>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</si>
  <si>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</si>
  <si>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</si>
  <si>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</si>
  <si>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</si>
  <si>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</si>
  <si>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</si>
  <si>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</si>
  <si>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</si>
  <si>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</si>
  <si>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</si>
  <si>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</si>
  <si>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</si>
  <si>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</si>
  <si>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</si>
  <si>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</si>
  <si>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</si>
  <si>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</si>
  <si>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</si>
  <si>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</si>
  <si>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</si>
  <si>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</si>
  <si>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</si>
  <si>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</si>
  <si>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</si>
  <si>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</si>
  <si>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</si>
  <si>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</si>
  <si>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</si>
  <si>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</si>
  <si>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</si>
  <si>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</si>
  <si>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</si>
  <si>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</si>
  <si>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</si>
  <si>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</si>
  <si>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</si>
  <si>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</si>
  <si>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</si>
  <si>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</si>
  <si>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</si>
  <si>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</si>
  <si>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</si>
  <si>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</si>
  <si>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</si>
  <si>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</si>
  <si>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</si>
  <si>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</si>
  <si>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</si>
  <si>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</si>
  <si>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</si>
  <si>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</si>
  <si>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</si>
  <si>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</si>
  <si>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</si>
  <si>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</si>
  <si>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</si>
  <si>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</si>
  <si>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</si>
  <si>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</si>
  <si>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</si>
  <si>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</si>
  <si>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</si>
  <si>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</si>
  <si>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</si>
  <si>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</si>
  <si>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</si>
  <si>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</si>
  <si>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</si>
  <si>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</si>
  <si>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</si>
  <si>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</si>
  <si>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</si>
  <si>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</si>
  <si>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</si>
  <si>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</si>
  <si>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</si>
  <si>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</si>
  <si>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</si>
  <si>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</si>
  <si>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</si>
  <si>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</si>
  <si>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</si>
  <si>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</si>
  <si>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</si>
  <si>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</si>
  <si>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</si>
  <si>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</si>
  <si>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</si>
  <si>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</si>
  <si>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</si>
  <si>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</si>
  <si>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</si>
  <si>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</si>
  <si>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</si>
  <si>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</si>
  <si>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</si>
  <si>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</si>
  <si>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</si>
  <si>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</si>
  <si>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</si>
  <si>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</si>
  <si>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</si>
  <si>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</si>
  <si>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</si>
  <si>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</si>
  <si>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</si>
  <si>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</si>
  <si>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</si>
  <si>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</si>
  <si>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</si>
  <si>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</si>
  <si>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</si>
  <si>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</si>
  <si>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</si>
  <si>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</si>
  <si>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</si>
  <si>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</si>
  <si>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</si>
  <si>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</si>
  <si>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</si>
  <si>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</si>
  <si>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</si>
  <si>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</si>
  <si>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</si>
  <si>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</si>
  <si>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</si>
  <si>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</si>
  <si>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</si>
  <si>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</si>
  <si>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</si>
  <si>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</si>
  <si>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</si>
  <si>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</si>
  <si>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</si>
  <si>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</si>
  <si>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</si>
  <si>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</si>
  <si>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</si>
  <si>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</si>
  <si>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</si>
  <si>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</si>
  <si>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</si>
  <si>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</si>
  <si>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</si>
  <si>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</si>
  <si>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</si>
  <si>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</si>
  <si>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</si>
  <si>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</si>
  <si>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</si>
  <si>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</si>
  <si>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</si>
  <si>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</si>
  <si>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</si>
  <si>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</si>
  <si>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</si>
  <si>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</si>
  <si>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</si>
  <si>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</si>
  <si>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</si>
  <si>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</si>
  <si>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</si>
  <si>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</si>
  <si>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</si>
  <si>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</si>
  <si>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</si>
  <si>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</si>
  <si>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</si>
  <si>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</si>
  <si>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</si>
  <si>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</si>
  <si>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</si>
  <si>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</si>
  <si>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</si>
  <si>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</si>
  <si>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</si>
  <si>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</si>
  <si>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</si>
  <si>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</si>
  <si>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</si>
  <si>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</si>
  <si>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</si>
  <si>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</si>
  <si>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</si>
  <si>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</si>
  <si>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</si>
  <si>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</si>
  <si>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</si>
  <si>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</si>
  <si>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</si>
  <si>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</si>
  <si>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</si>
  <si>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</si>
  <si>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</si>
  <si>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</si>
  <si>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</si>
  <si>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</si>
  <si>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</si>
  <si>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</si>
  <si>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</si>
  <si>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</si>
  <si>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</si>
  <si>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</si>
  <si>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</si>
  <si>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</si>
  <si>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</si>
  <si>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</si>
  <si>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</si>
  <si>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</si>
  <si>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</si>
  <si>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</si>
  <si>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</si>
  <si>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</si>
  <si>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</si>
  <si>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</si>
  <si>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</si>
  <si>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</si>
  <si>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</si>
  <si>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</si>
  <si>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</si>
  <si>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</si>
  <si>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</si>
  <si>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</si>
  <si>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</si>
  <si>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</si>
  <si>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</si>
  <si>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</si>
  <si>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</si>
  <si>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</si>
  <si>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</si>
  <si>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</si>
  <si>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</si>
  <si>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</si>
  <si>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</si>
  <si>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</si>
  <si>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</si>
  <si>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</si>
  <si>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</si>
  <si>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</si>
  <si>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</si>
  <si>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</si>
  <si>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</si>
  <si>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</si>
  <si>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</si>
  <si>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</si>
  <si>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</si>
  <si>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</si>
  <si>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</si>
  <si>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</si>
  <si>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</si>
  <si>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</si>
  <si>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</si>
  <si>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</si>
  <si>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</si>
  <si>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</si>
  <si>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</si>
  <si>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</si>
  <si>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</si>
  <si>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</si>
  <si>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</si>
  <si>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</si>
  <si>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</si>
  <si>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</si>
  <si>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</si>
  <si>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</si>
  <si>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</si>
  <si>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</si>
  <si>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</si>
  <si>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</si>
  <si>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</si>
  <si>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</si>
  <si>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</si>
  <si>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</si>
  <si>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</si>
  <si>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</si>
  <si>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</si>
  <si>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</si>
  <si>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</si>
  <si>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</si>
  <si>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</si>
  <si>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</si>
  <si>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</si>
  <si>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</si>
  <si>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</si>
  <si>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</si>
  <si>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</si>
  <si>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</si>
  <si>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</si>
  <si>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</si>
  <si>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</si>
  <si>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</si>
  <si>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</si>
  <si>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</si>
  <si>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</si>
  <si>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</si>
  <si>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</si>
  <si>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</si>
  <si>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</si>
  <si>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</si>
  <si>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</si>
  <si>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</si>
  <si>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</si>
  <si>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</si>
  <si>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</si>
  <si>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</si>
  <si>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</si>
  <si>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</si>
  <si>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</si>
  <si>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</si>
  <si>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</si>
  <si>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</si>
  <si>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</si>
  <si>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</si>
  <si>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</si>
  <si>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</si>
  <si>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</si>
  <si>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</si>
  <si>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</si>
  <si>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</si>
  <si>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</si>
  <si>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</si>
  <si>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</si>
  <si>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</si>
  <si>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</si>
  <si>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</si>
  <si>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</si>
  <si>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</si>
  <si>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</si>
  <si>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</si>
  <si>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</si>
  <si>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</si>
  <si>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</si>
  <si>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</si>
  <si>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</si>
  <si>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</si>
  <si>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</si>
  <si>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</si>
  <si>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</si>
  <si>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</si>
  <si>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</si>
  <si>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</si>
  <si>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</si>
  <si>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</si>
  <si>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</si>
  <si>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</si>
  <si>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</si>
  <si>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</si>
  <si>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</si>
  <si>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</si>
  <si>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</si>
  <si>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</si>
  <si>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</si>
  <si>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</si>
  <si>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</si>
  <si>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</si>
  <si>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</si>
  <si>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</si>
  <si>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</si>
  <si>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</si>
  <si>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</si>
  <si>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</si>
  <si>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</si>
  <si>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</si>
  <si>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</si>
  <si>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</si>
  <si>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</si>
  <si>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</si>
  <si>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</si>
  <si>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</si>
  <si>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</si>
  <si>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</si>
  <si>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</si>
  <si>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</si>
  <si>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</si>
  <si>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</si>
  <si>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</si>
  <si>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</si>
  <si>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</si>
  <si>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</si>
  <si>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</si>
  <si>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</si>
  <si>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</si>
  <si>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</si>
  <si>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</si>
  <si>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</si>
  <si>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</si>
  <si>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</si>
  <si>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</si>
  <si>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</si>
  <si>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</si>
  <si>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</si>
  <si>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</si>
  <si>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</si>
  <si>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</si>
  <si>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</si>
  <si>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</si>
  <si>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</si>
  <si>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</si>
  <si>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</si>
  <si>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</si>
  <si>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</si>
  <si>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</si>
  <si>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</si>
  <si>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</si>
  <si>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</si>
  <si>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</si>
  <si>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</si>
  <si>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</si>
  <si>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</si>
  <si>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</si>
  <si>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</si>
  <si>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</si>
  <si>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</si>
  <si>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</si>
  <si>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</si>
  <si>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</si>
  <si>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</si>
  <si>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</si>
  <si>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</si>
  <si>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</si>
  <si>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</si>
  <si>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</si>
  <si>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</si>
  <si>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</si>
  <si>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</si>
  <si>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</si>
  <si>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</si>
  <si>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</si>
  <si>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</si>
  <si>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</si>
  <si>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</si>
  <si>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</si>
  <si>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</si>
  <si>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</si>
  <si>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</si>
  <si>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</si>
  <si>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</si>
  <si>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</si>
  <si>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</si>
  <si>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</si>
  <si>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</si>
  <si>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</si>
  <si>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</si>
  <si>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</si>
  <si>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</si>
  <si>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</si>
  <si>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</si>
  <si>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</si>
  <si>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</si>
  <si>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</si>
  <si>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</si>
  <si>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</si>
  <si>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</si>
  <si>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</si>
  <si>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</si>
  <si>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</si>
  <si>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</si>
  <si>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</si>
  <si>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</si>
  <si>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</si>
  <si>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</si>
  <si>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</si>
  <si>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</si>
  <si>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</si>
  <si>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</si>
  <si>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</si>
  <si>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</si>
  <si>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</si>
  <si>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</si>
  <si>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</si>
  <si>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</si>
  <si>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</si>
  <si>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</si>
  <si>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</si>
  <si>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</si>
  <si>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</si>
  <si>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</si>
  <si>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</si>
  <si>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</si>
  <si>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</si>
  <si>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</si>
  <si>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</si>
  <si>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</si>
  <si>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</si>
  <si>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</si>
  <si>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</si>
  <si>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</si>
  <si>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</si>
  <si>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</si>
  <si>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</si>
  <si>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</si>
  <si>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</si>
  <si>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</si>
  <si>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</si>
  <si>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</si>
  <si>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</si>
  <si>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</si>
  <si>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</si>
  <si>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</si>
  <si>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</si>
  <si>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</si>
  <si>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</si>
  <si>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</si>
  <si>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</si>
  <si>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</si>
  <si>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</si>
  <si>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</si>
  <si>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</si>
  <si>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</si>
  <si>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</si>
  <si>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</si>
  <si>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</si>
  <si>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</si>
  <si>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</si>
  <si>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</si>
  <si>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</si>
  <si>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</si>
  <si>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</si>
  <si>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</si>
  <si>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</si>
  <si>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</si>
  <si>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</si>
  <si>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</si>
  <si>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</si>
  <si>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</si>
  <si>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</si>
  <si>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</si>
  <si>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</si>
  <si>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</si>
  <si>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</si>
  <si>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</si>
  <si>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</si>
  <si>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</si>
  <si>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</si>
  <si>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</si>
  <si>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</si>
  <si>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</si>
  <si>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</si>
  <si>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</si>
  <si>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</si>
  <si>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</si>
  <si>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</si>
  <si>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</si>
  <si>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</si>
  <si>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</si>
  <si>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</si>
  <si>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</si>
  <si>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</si>
  <si>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</si>
  <si>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</si>
  <si>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</si>
  <si>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</si>
  <si>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</si>
  <si>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</si>
  <si>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</si>
  <si>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</si>
  <si>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</si>
  <si>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</si>
  <si>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</si>
  <si>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</si>
  <si>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</si>
  <si>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</si>
  <si>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</si>
  <si>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</si>
  <si>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</si>
  <si>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</si>
  <si>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</si>
  <si>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</si>
  <si>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</si>
  <si>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</si>
  <si>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</si>
  <si>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</si>
  <si>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</si>
  <si>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</si>
  <si>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</si>
  <si>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</si>
  <si>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</si>
  <si>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</si>
  <si>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</si>
  <si>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</si>
  <si>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</si>
  <si>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</si>
  <si>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</si>
  <si>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</si>
  <si>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</si>
  <si>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</si>
  <si>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</si>
  <si>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</si>
  <si>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</si>
  <si>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</si>
  <si>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</si>
  <si>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</si>
  <si>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</si>
  <si>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</si>
  <si>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</si>
  <si>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</si>
  <si>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</si>
  <si>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</si>
  <si>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</si>
  <si>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</si>
  <si>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</si>
  <si>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</si>
  <si>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</si>
  <si>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</si>
  <si>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</si>
  <si>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</si>
  <si>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</si>
  <si>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</si>
  <si>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</si>
  <si>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</si>
  <si>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</si>
  <si>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</si>
  <si>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</si>
  <si>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</si>
  <si>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</si>
  <si>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</si>
  <si>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</si>
  <si>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</si>
  <si>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</si>
  <si>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</si>
  <si>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</si>
  <si>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</si>
  <si>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</si>
  <si>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</si>
  <si>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</si>
  <si>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</si>
  <si>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</si>
  <si>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</si>
  <si>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</si>
  <si>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</si>
  <si>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</si>
  <si>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</si>
  <si>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</si>
  <si>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</si>
  <si>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</si>
  <si>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</si>
  <si>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</si>
  <si>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</si>
  <si>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</si>
  <si>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</si>
  <si>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</si>
  <si>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</si>
  <si>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</si>
  <si>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</si>
  <si>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</si>
  <si>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</si>
  <si>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</si>
  <si>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</si>
  <si>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</si>
  <si>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</si>
  <si>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</si>
  <si>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</si>
  <si>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</si>
  <si>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</si>
  <si>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</si>
  <si>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</si>
  <si>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</si>
  <si>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</si>
  <si>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</si>
  <si>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</si>
  <si>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</si>
  <si>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</si>
  <si>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</si>
  <si>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</si>
  <si>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</si>
  <si>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</si>
  <si>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</si>
  <si>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</si>
  <si>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</si>
  <si>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</si>
  <si>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</si>
  <si>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</si>
  <si>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</si>
  <si>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</si>
  <si>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</si>
  <si>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</si>
  <si>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</si>
  <si>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</si>
  <si>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</si>
  <si>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</si>
  <si>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</si>
  <si>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</si>
  <si>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</si>
  <si>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</si>
  <si>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</si>
  <si>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</si>
  <si>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</si>
  <si>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</si>
  <si>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</si>
  <si>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</si>
  <si>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</si>
  <si>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</si>
  <si>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</si>
  <si>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</si>
  <si>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</si>
  <si>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</si>
  <si>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</si>
  <si>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</si>
  <si>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</si>
  <si>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</si>
  <si>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</si>
  <si>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</si>
  <si>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</si>
  <si>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</si>
  <si>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</si>
  <si>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</si>
  <si>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</si>
  <si>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</si>
  <si>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</si>
  <si>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</si>
  <si>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</si>
  <si>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</si>
  <si>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</si>
  <si>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</si>
  <si>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</si>
  <si>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</si>
  <si>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</si>
  <si>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</si>
  <si>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</si>
  <si>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</si>
  <si>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</si>
  <si>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</si>
  <si>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</si>
  <si>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</si>
  <si>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</si>
  <si>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</si>
  <si>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</si>
  <si>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</si>
  <si>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</si>
  <si>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</si>
  <si>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</si>
  <si>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</si>
  <si>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</si>
  <si>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</si>
  <si>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</si>
  <si>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</si>
  <si>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</si>
  <si>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</si>
  <si>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</si>
  <si>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</si>
  <si>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</si>
  <si>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</si>
  <si>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</si>
  <si>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</si>
  <si>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</si>
  <si>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</si>
  <si>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</si>
  <si>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</si>
  <si>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</si>
  <si>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</si>
  <si>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</si>
  <si>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</si>
  <si>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</si>
  <si>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</si>
  <si>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</si>
  <si>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</si>
  <si>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</si>
  <si>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</si>
  <si>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LineFeat7</t>
  </si>
  <si>
    <t>G0 F3000 Z5.4</t>
  </si>
  <si>
    <t>RetractionFeat2</t>
  </si>
  <si>
    <t>G0 Y140.0</t>
  </si>
  <si>
    <t>G1 F500 X275.0 Y100.0 E0.255349</t>
  </si>
  <si>
    <t>G1 X175.0 E1.020581</t>
  </si>
  <si>
    <t>G1 Y96.0 E0.040823</t>
  </si>
  <si>
    <t>G1 X275.0 E1.020581</t>
  </si>
  <si>
    <t>G1 Y92.0 E0.040823</t>
  </si>
  <si>
    <t>G1 Y88.0 E0.040823</t>
  </si>
  <si>
    <t>G1 Y84.0 E0.040823</t>
  </si>
  <si>
    <t>G1 Y80.0 E0.040823</t>
  </si>
  <si>
    <t>G1 Y76.0 E0.040823</t>
  </si>
  <si>
    <t>G1 Y72.0 E0.040823</t>
  </si>
  <si>
    <t>G1 Y68.0 E0.040823</t>
  </si>
  <si>
    <t>G1 F500 Y72.0 E0.040823</t>
  </si>
  <si>
    <t>G1 Y100.0 E0.040823</t>
  </si>
  <si>
    <t>set global.concretePrimeE = 1.27</t>
  </si>
  <si>
    <t>G0 F6000.0 Z8.1</t>
  </si>
  <si>
    <t>G0 F3000 Z8.1</t>
  </si>
  <si>
    <t>G1 F500 X175.0 E1.020581</t>
  </si>
  <si>
    <t>G0 F6000.0 Z10.8</t>
  </si>
  <si>
    <t>G0 F3000 Z10.8</t>
  </si>
  <si>
    <t>G0 F6000.0 Z13.5</t>
  </si>
  <si>
    <t>G0 F3000 Z13.5</t>
  </si>
  <si>
    <t>G0 F6000.0 Z16.2</t>
  </si>
  <si>
    <t>G0 F3000 Z16.2</t>
  </si>
  <si>
    <t>G0 F6000.0 Z18.9</t>
  </si>
  <si>
    <t>G0 F3000 Z18.9</t>
  </si>
  <si>
    <t>set global.concretePrimeX = 205</t>
  </si>
  <si>
    <t>set global.concretePrimeLength = 70</t>
  </si>
  <si>
    <t>ConcreteBaseLayers</t>
  </si>
  <si>
    <t>ConcreteTopLayers</t>
  </si>
  <si>
    <t>BeamPerimeterWidth</t>
  </si>
  <si>
    <t>9-12</t>
  </si>
  <si>
    <t>3-14</t>
  </si>
  <si>
    <t>Repeat until domino layer is reached</t>
  </si>
  <si>
    <t>Domino Side Extrusions</t>
  </si>
  <si>
    <t>ConcreteSidePerimeters</t>
  </si>
  <si>
    <t>Repeat until domino area is reached</t>
  </si>
  <si>
    <t>DominoLength</t>
  </si>
  <si>
    <t>DominoPerimeterWidth</t>
  </si>
  <si>
    <t>Shortened extrusions at short end of domino</t>
  </si>
  <si>
    <t>Repeat until domino is passed</t>
  </si>
  <si>
    <t>Repeat until end of beam</t>
  </si>
  <si>
    <t>Domino Side Extrusions on other side</t>
  </si>
  <si>
    <t>Move Up</t>
  </si>
  <si>
    <t>Move over beam to start printing</t>
  </si>
  <si>
    <t>Prime</t>
  </si>
  <si>
    <t>Shortened extrusions at other short end of domino</t>
  </si>
  <si>
    <t>Move into position to fill in gap at top end of domino</t>
  </si>
  <si>
    <t>First Concrete Layer above domino</t>
  </si>
  <si>
    <t>8</t>
  </si>
  <si>
    <t>13.1-9</t>
  </si>
  <si>
    <t>13.1-10</t>
  </si>
  <si>
    <t>13.1-11</t>
  </si>
  <si>
    <t>13.1-12</t>
  </si>
  <si>
    <t>13.2-9</t>
  </si>
  <si>
    <t>13.2-10</t>
  </si>
  <si>
    <t>13.2-11</t>
  </si>
  <si>
    <t>13.2-12</t>
  </si>
  <si>
    <t>13.3-9</t>
  </si>
  <si>
    <t>13.3-10</t>
  </si>
  <si>
    <t>13.3-11</t>
  </si>
  <si>
    <t>13.3-12</t>
  </si>
  <si>
    <t>14</t>
  </si>
  <si>
    <t>16</t>
  </si>
  <si>
    <t>LineFeat12</t>
  </si>
  <si>
    <t>19</t>
  </si>
  <si>
    <t>LineFeat13</t>
  </si>
  <si>
    <t>21</t>
  </si>
  <si>
    <t>LineFeat14</t>
  </si>
  <si>
    <t>G1 X242.25 E0.33424</t>
  </si>
  <si>
    <t>22</t>
  </si>
  <si>
    <t>LineFeat15</t>
  </si>
  <si>
    <t>23</t>
  </si>
  <si>
    <t>LineFeat16</t>
  </si>
  <si>
    <t>G1 X275.0 E0.33424</t>
  </si>
  <si>
    <t>24</t>
  </si>
  <si>
    <t>LineFeat17</t>
  </si>
  <si>
    <t>26</t>
  </si>
  <si>
    <t>LineFeat18</t>
  </si>
  <si>
    <t>27</t>
  </si>
  <si>
    <t>LineFeat19</t>
  </si>
  <si>
    <t>28</t>
  </si>
  <si>
    <t>LineFeat20</t>
  </si>
  <si>
    <t>LineFeat21</t>
  </si>
  <si>
    <t>31</t>
  </si>
  <si>
    <t>RetractionFeat3</t>
  </si>
  <si>
    <t>32</t>
  </si>
  <si>
    <t>LineFeat22</t>
  </si>
  <si>
    <t>G0 X171.0</t>
  </si>
  <si>
    <t>33</t>
  </si>
  <si>
    <t>LineFeat23</t>
  </si>
  <si>
    <t>G0 Y80.0</t>
  </si>
  <si>
    <t>LineFeat24</t>
  </si>
  <si>
    <t>35</t>
  </si>
  <si>
    <t>RetractionFeat4</t>
  </si>
  <si>
    <t>G1 F5000.0 E0.3</t>
  </si>
  <si>
    <t>36</t>
  </si>
  <si>
    <t>LineFeat25</t>
  </si>
  <si>
    <t>37</t>
  </si>
  <si>
    <t>LineFeat26</t>
  </si>
  <si>
    <t>G1 F500 X207.75 E0.33424</t>
  </si>
  <si>
    <t>38</t>
  </si>
  <si>
    <t>LineFeat27</t>
  </si>
  <si>
    <t>LineFeat28</t>
  </si>
  <si>
    <t>40</t>
  </si>
  <si>
    <t>LineFeat29</t>
  </si>
  <si>
    <t>42</t>
  </si>
  <si>
    <t>RetractionFeat5</t>
  </si>
  <si>
    <t>43</t>
  </si>
  <si>
    <t>LineFeat30</t>
  </si>
  <si>
    <t>44</t>
  </si>
  <si>
    <t>LineFeat31</t>
  </si>
  <si>
    <t>45</t>
  </si>
  <si>
    <t>LineFeat32</t>
  </si>
  <si>
    <t>46</t>
  </si>
  <si>
    <t>RetractionFeat6</t>
  </si>
  <si>
    <t>47</t>
  </si>
  <si>
    <t>LineFeat33</t>
  </si>
  <si>
    <t>48</t>
  </si>
  <si>
    <t>LineFeat34</t>
  </si>
  <si>
    <t>49</t>
  </si>
  <si>
    <t>LineFeat35</t>
  </si>
  <si>
    <t>LineFeat36</t>
  </si>
  <si>
    <t>51</t>
  </si>
  <si>
    <t>LineFeat37</t>
  </si>
  <si>
    <t>53</t>
  </si>
  <si>
    <t>RetractionFeat7</t>
  </si>
  <si>
    <t>54</t>
  </si>
  <si>
    <t>LineFeat38</t>
  </si>
  <si>
    <t>55</t>
  </si>
  <si>
    <t>LineFeat39</t>
  </si>
  <si>
    <t>56</t>
  </si>
  <si>
    <t>LineFeat40</t>
  </si>
  <si>
    <t>57</t>
  </si>
  <si>
    <t>LineFeat41</t>
  </si>
  <si>
    <t>59</t>
  </si>
  <si>
    <t>RetractionFeat8</t>
  </si>
  <si>
    <t>LineFeat42</t>
  </si>
  <si>
    <t>62</t>
  </si>
  <si>
    <t>LineFeat43</t>
  </si>
  <si>
    <t>CartesianRepFeat8 of LineFeat39</t>
  </si>
  <si>
    <t>CartesianRepFeat9 of LineFeat43</t>
  </si>
  <si>
    <t>LineFeat44</t>
  </si>
  <si>
    <t>LineFeat45</t>
  </si>
  <si>
    <t>CartesianRepFeat2 of LineFeat10</t>
  </si>
  <si>
    <t>CartesianRepFeat7 of LineFeat31</t>
  </si>
  <si>
    <t>CartesianRepFeat7 of LineFeat32</t>
  </si>
  <si>
    <t>CartesianRepFeat8 of LineFeat40</t>
  </si>
  <si>
    <t>CartesianRepFeat8 of LineFeat41</t>
  </si>
  <si>
    <t>LineFeat46</t>
  </si>
  <si>
    <t>CartesianRepFeat9 of LineFeat44</t>
  </si>
  <si>
    <t>CartesianRepFeat9 of LineFeat45</t>
  </si>
  <si>
    <t>CartesianRepFeat9 of LineFeat46</t>
  </si>
  <si>
    <t>LineFeat47</t>
  </si>
  <si>
    <t>LineFeat48</t>
  </si>
  <si>
    <t>Move into position to start next layer</t>
  </si>
  <si>
    <t>G0 X175.0</t>
  </si>
  <si>
    <t>CartesianRepFeat8 of LineFeat42</t>
  </si>
  <si>
    <t>G1 X175.0 E0.33424</t>
  </si>
  <si>
    <t>G1 X207.75 E0.33424</t>
  </si>
  <si>
    <t>G0 Y104.0</t>
  </si>
  <si>
    <t>G1 F500 Y80.0 E0.040823</t>
  </si>
  <si>
    <t>G0 F3000 Y100.0</t>
  </si>
  <si>
    <t>G0 X275.0</t>
  </si>
  <si>
    <t>Next Concrete Layer</t>
  </si>
  <si>
    <t>Select Domino Tool</t>
  </si>
  <si>
    <t>F40000</t>
  </si>
  <si>
    <t>Move into position</t>
  </si>
  <si>
    <t>M98 P"Domino_Wipe.g"</t>
  </si>
  <si>
    <t>F10000</t>
  </si>
  <si>
    <t>Deposit</t>
  </si>
  <si>
    <t>Switch tools back</t>
  </si>
  <si>
    <t>25-28</t>
  </si>
  <si>
    <t>31-34</t>
  </si>
  <si>
    <t>35-38</t>
  </si>
  <si>
    <t>46-49</t>
  </si>
  <si>
    <t>57-60</t>
  </si>
  <si>
    <t>63-66</t>
  </si>
  <si>
    <t>57-68</t>
  </si>
  <si>
    <t>G0 X283.0 Z13.5</t>
  </si>
  <si>
    <t>CustomGCODEFeat2</t>
  </si>
  <si>
    <t>20</t>
  </si>
  <si>
    <t>CustomGCODEFeat3</t>
  </si>
  <si>
    <t>G0 F3000 Z30.8</t>
  </si>
  <si>
    <t>CustomGCODEFeat4</t>
  </si>
  <si>
    <t>CustomGCODEFeat5</t>
  </si>
  <si>
    <t>G0 F3000 X275.0 Y125.0</t>
  </si>
  <si>
    <t>G1 F500 Y100.0 Z10.8 E0.326745</t>
  </si>
  <si>
    <t>25</t>
  </si>
  <si>
    <t>30</t>
  </si>
  <si>
    <t>G0 F3000 X242.25</t>
  </si>
  <si>
    <t>34.1-31</t>
  </si>
  <si>
    <t>CartesianRepFeat5 of LineFeat21</t>
  </si>
  <si>
    <t>34.1-32</t>
  </si>
  <si>
    <t>CartesianRepFeat5 of LineFeat22</t>
  </si>
  <si>
    <t>34.1-33</t>
  </si>
  <si>
    <t>CartesianRepFeat5 of LineFeat23</t>
  </si>
  <si>
    <t>41</t>
  </si>
  <si>
    <t>50.1-46</t>
  </si>
  <si>
    <t>50.1-47</t>
  </si>
  <si>
    <t>50.1-48</t>
  </si>
  <si>
    <t>CartesianRepFeat7 of LineFeat33</t>
  </si>
  <si>
    <t>50.1-49</t>
  </si>
  <si>
    <t>CartesianRepFeat7 of LineFeat34</t>
  </si>
  <si>
    <t>52</t>
  </si>
  <si>
    <t>58</t>
  </si>
  <si>
    <t>60</t>
  </si>
  <si>
    <t>61.1-57</t>
  </si>
  <si>
    <t>61.1-58</t>
  </si>
  <si>
    <t>61.1-59</t>
  </si>
  <si>
    <t>61.1-60</t>
  </si>
  <si>
    <t>61.2-57</t>
  </si>
  <si>
    <t>61.2-58</t>
  </si>
  <si>
    <t>61.2-59</t>
  </si>
  <si>
    <t>61.2-60</t>
  </si>
  <si>
    <t>61.3-57</t>
  </si>
  <si>
    <t>61.3-58</t>
  </si>
  <si>
    <t>61.3-59</t>
  </si>
  <si>
    <t>61.3-60</t>
  </si>
  <si>
    <t>63</t>
  </si>
  <si>
    <t>64</t>
  </si>
  <si>
    <t>65</t>
  </si>
  <si>
    <t>66</t>
  </si>
  <si>
    <t>67.1-63</t>
  </si>
  <si>
    <t>67.1-64</t>
  </si>
  <si>
    <t>67.1-65</t>
  </si>
  <si>
    <t>67.1-66</t>
  </si>
  <si>
    <t>67.2-63</t>
  </si>
  <si>
    <t>67.2-64</t>
  </si>
  <si>
    <t>67.2-65</t>
  </si>
  <si>
    <t>67.2-66</t>
  </si>
  <si>
    <t>67.3-63</t>
  </si>
  <si>
    <t>67.3-64</t>
  </si>
  <si>
    <t>67.3-65</t>
  </si>
  <si>
    <t>67.3-66</t>
  </si>
  <si>
    <t>68</t>
  </si>
  <si>
    <t>70</t>
  </si>
  <si>
    <t>G0 X283.0 Z24.3</t>
  </si>
  <si>
    <t>71</t>
  </si>
  <si>
    <t>G0 F3000 X225.0 Y86.0 Z10.8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</si>
</sst>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1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5000325" cy="201260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78"/>
  <sheetViews>
    <sheetView showGridLines="0" tabSelected="1" zoomScale="85" zoomScaleNormal="85" workbookViewId="0">
      <pane ySplit="1" topLeftCell="A24" activePane="bottomLeft" state="frozen"/>
      <selection activeCell="G268" sqref="G268"/>
      <selection pane="bottomLeft" activeCell="K48" sqref="K48"/>
    </sheetView>
  </sheetViews>
  <sheetFormatPr defaultColWidth="8.86328125" defaultRowHeight="14.25" x14ac:dyDescent="0.45"/>
  <cols>
    <col min="1" max="1" width="9.1328125" style="64" customWidth="1"/>
    <col min="2" max="2" width="19.1328125" style="64" customWidth="1"/>
    <col min="3" max="6" width="12.1328125" style="64" customWidth="1"/>
    <col min="7" max="7" width="21.1328125" style="64" customWidth="1"/>
    <col min="8" max="16" width="12.1328125" style="64" customWidth="1"/>
    <col min="17" max="17" width="67.86328125" style="64" customWidth="1"/>
    <col min="18" max="18" width="3.3984375" style="64" customWidth="1"/>
    <col min="19" max="19" width="32.1328125" style="64" bestFit="1" customWidth="1"/>
    <col min="20" max="20" width="19.73046875" style="64" customWidth="1"/>
    <col min="21" max="21" width="20" style="64" bestFit="1" customWidth="1"/>
    <col min="22" max="16384" width="8.86328125" style="64"/>
  </cols>
  <sheetData>
    <row r="1" spans="1:40" ht="122.25" customHeight="1" x14ac:dyDescent="0.5">
      <c r="B1" s="113"/>
      <c r="C1" s="114"/>
      <c r="D1" s="114"/>
      <c r="E1" s="114"/>
      <c r="F1" s="114"/>
      <c r="L1" s="65"/>
      <c r="S1" s="68"/>
    </row>
    <row r="2" spans="1:40" x14ac:dyDescent="0.45">
      <c r="C2" s="65"/>
      <c r="E2" s="65"/>
    </row>
    <row r="3" spans="1:40" x14ac:dyDescent="0.45">
      <c r="F3" s="65"/>
      <c r="H3" s="66"/>
      <c r="I3" s="64" t="s">
        <v>484</v>
      </c>
      <c r="M3" s="66"/>
      <c r="O3" s="66"/>
    </row>
    <row r="4" spans="1:40" x14ac:dyDescent="0.45">
      <c r="M4" s="67"/>
    </row>
    <row r="5" spans="1:40" x14ac:dyDescent="0.45">
      <c r="T5" s="73" t="s">
        <v>131</v>
      </c>
      <c r="U5" s="72">
        <f>COUNTA(RecycleBin!#REF!)</f>
        <v>1</v>
      </c>
    </row>
    <row r="6" spans="1:40" x14ac:dyDescent="0.4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4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45">
      <c r="A8" s="2">
        <v>1</v>
      </c>
      <c r="B8" s="2" t="s">
        <v>49</v>
      </c>
      <c r="C8" s="2" t="s">
        <v>792</v>
      </c>
      <c r="D8" s="2"/>
      <c r="E8" s="2"/>
      <c r="F8" s="2"/>
      <c r="G8" s="2"/>
      <c r="H8" s="2"/>
      <c r="I8" s="2"/>
      <c r="J8" s="2"/>
      <c r="K8" s="2"/>
      <c r="L8" s="2"/>
      <c r="M8" s="2"/>
      <c r="N8" s="2"/>
      <c r="O8" s="2"/>
      <c r="P8" s="2"/>
      <c r="Q8" s="2" t="s">
        <v>711</v>
      </c>
      <c r="R8"/>
      <c r="S8" s="74" t="s">
        <v>40</v>
      </c>
      <c r="T8" s="3"/>
      <c r="U8" s="5"/>
      <c r="V8"/>
      <c r="W8"/>
      <c r="X8"/>
      <c r="Y8"/>
      <c r="Z8"/>
      <c r="AA8"/>
      <c r="AB8"/>
      <c r="AC8"/>
      <c r="AD8"/>
      <c r="AE8"/>
      <c r="AF8"/>
      <c r="AG8"/>
      <c r="AH8"/>
      <c r="AI8"/>
      <c r="AJ8"/>
      <c r="AK8"/>
      <c r="AL8"/>
      <c r="AM8"/>
      <c r="AN8"/>
    </row>
    <row r="9" spans="1:40" x14ac:dyDescent="0.4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45">
      <c r="A10" s="2">
        <v>3</v>
      </c>
      <c r="B10" s="91" t="s">
        <v>1</v>
      </c>
      <c r="C10" s="77" t="s">
        <v>18</v>
      </c>
      <c r="D10" s="2" t="s">
        <v>100</v>
      </c>
      <c r="E10" s="2" t="s">
        <v>100</v>
      </c>
      <c r="F10" s="2" t="s">
        <v>100</v>
      </c>
      <c r="G10" s="2" t="str">
        <f>CONCATENATE("R-",Length)</f>
        <v>R-100</v>
      </c>
      <c r="H10" s="2" t="s">
        <v>100</v>
      </c>
      <c r="I10" s="2" t="s">
        <v>100</v>
      </c>
      <c r="J10" s="2" t="s">
        <v>19</v>
      </c>
      <c r="K10" s="2">
        <f>ConcreteExtrusionWidth</f>
        <v>3.75</v>
      </c>
      <c r="L10" s="2">
        <f>ConcreteExtrusionHeight</f>
        <v>3.42</v>
      </c>
      <c r="M10" s="2"/>
      <c r="N10" s="2"/>
      <c r="O10" s="2"/>
      <c r="P10" s="2"/>
      <c r="Q10" s="2" t="s">
        <v>803</v>
      </c>
      <c r="R10"/>
      <c r="S10" s="5" t="s">
        <v>87</v>
      </c>
      <c r="T10" s="5">
        <v>1</v>
      </c>
      <c r="U10" s="5" t="s">
        <v>89</v>
      </c>
      <c r="V10"/>
      <c r="W10"/>
      <c r="X10"/>
      <c r="Y10"/>
      <c r="Z10"/>
      <c r="AA10"/>
      <c r="AB10"/>
      <c r="AC10"/>
      <c r="AD10"/>
      <c r="AE10"/>
      <c r="AF10"/>
      <c r="AG10"/>
      <c r="AH10"/>
      <c r="AI10"/>
      <c r="AJ10"/>
      <c r="AK10"/>
      <c r="AL10"/>
      <c r="AM10"/>
      <c r="AN10"/>
    </row>
    <row r="11" spans="1:40" x14ac:dyDescent="0.4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45">
      <c r="A12" s="2">
        <v>5</v>
      </c>
      <c r="B12" s="91" t="s">
        <v>1</v>
      </c>
      <c r="C12" s="77" t="s">
        <v>18</v>
      </c>
      <c r="D12" s="2" t="s">
        <v>100</v>
      </c>
      <c r="E12" s="2" t="s">
        <v>100</v>
      </c>
      <c r="F12" s="2" t="s">
        <v>100</v>
      </c>
      <c r="G12" s="2" t="str">
        <f>CONCATENATE("R",Length)</f>
        <v>R100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4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45">
      <c r="A14" s="2">
        <v>7</v>
      </c>
      <c r="B14" s="91" t="s">
        <v>55</v>
      </c>
      <c r="C14" s="77" t="s">
        <v>715</v>
      </c>
      <c r="D14" s="2">
        <v>0</v>
      </c>
      <c r="E14" s="2">
        <f>-(2*ConcreteExtrusionSpacing)</f>
        <v>-8</v>
      </c>
      <c r="F14" s="2">
        <v>0</v>
      </c>
      <c r="G14" s="2">
        <f>(BeamPerimeterWidth/2)-1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45">
      <c r="A15" s="2">
        <v>8</v>
      </c>
      <c r="B15" s="91" t="s">
        <v>1</v>
      </c>
      <c r="C15" s="77" t="s">
        <v>18</v>
      </c>
      <c r="D15" s="2" t="s">
        <v>100</v>
      </c>
      <c r="E15" s="2" t="s">
        <v>100</v>
      </c>
      <c r="F15" s="2" t="s">
        <v>100</v>
      </c>
      <c r="G15" s="2" t="s">
        <v>100</v>
      </c>
      <c r="H15" s="2" t="s">
        <v>100</v>
      </c>
      <c r="I15" s="2">
        <f>ConcreteLayerHeight</f>
        <v>2.7</v>
      </c>
      <c r="J15" s="2" t="s">
        <v>23</v>
      </c>
      <c r="K15" s="2"/>
      <c r="L15" s="2"/>
      <c r="M15" s="2"/>
      <c r="N15" s="2"/>
      <c r="O15" s="2"/>
      <c r="P15" s="2"/>
      <c r="Q15" s="2"/>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45">
      <c r="A16" s="2">
        <v>9</v>
      </c>
      <c r="B16" s="91" t="s">
        <v>1</v>
      </c>
      <c r="C16" s="77" t="s">
        <v>18</v>
      </c>
      <c r="D16" s="2" t="s">
        <v>100</v>
      </c>
      <c r="E16" s="2" t="s">
        <v>100</v>
      </c>
      <c r="F16" s="2" t="s">
        <v>100</v>
      </c>
      <c r="G16" s="2" t="s">
        <v>100</v>
      </c>
      <c r="H16" s="2" t="str">
        <f>CONCATENATE("R",ConcreteExtrusionSpacing)</f>
        <v>R4</v>
      </c>
      <c r="I16" s="2" t="s">
        <v>100</v>
      </c>
      <c r="J16" s="2" t="s">
        <v>19</v>
      </c>
      <c r="K16" s="2">
        <f>ConcreteExtrusionWidth</f>
        <v>3.75</v>
      </c>
      <c r="L16" s="2">
        <f>ConcreteExtrusionHeight</f>
        <v>3.42</v>
      </c>
      <c r="M16" s="2"/>
      <c r="N16" s="2"/>
      <c r="O16" s="2"/>
      <c r="P16" s="2"/>
      <c r="Q16" s="2" t="s">
        <v>804</v>
      </c>
      <c r="R16"/>
      <c r="S16" s="5" t="s">
        <v>85</v>
      </c>
      <c r="T16" s="5">
        <v>500</v>
      </c>
      <c r="U16" s="5" t="s">
        <v>45</v>
      </c>
      <c r="V16"/>
      <c r="W16"/>
      <c r="X16"/>
      <c r="Y16"/>
      <c r="Z16"/>
      <c r="AA16"/>
      <c r="AB16"/>
      <c r="AC16"/>
      <c r="AD16"/>
      <c r="AE16"/>
      <c r="AF16"/>
      <c r="AG16"/>
      <c r="AH16"/>
      <c r="AI16"/>
      <c r="AJ16"/>
      <c r="AK16"/>
      <c r="AL16"/>
      <c r="AM16"/>
      <c r="AN16"/>
    </row>
    <row r="17" spans="1:40" x14ac:dyDescent="0.45">
      <c r="A17" s="2">
        <v>10</v>
      </c>
      <c r="B17" s="91" t="s">
        <v>1</v>
      </c>
      <c r="C17" s="77" t="s">
        <v>18</v>
      </c>
      <c r="D17" s="2" t="s">
        <v>100</v>
      </c>
      <c r="E17" s="2" t="s">
        <v>100</v>
      </c>
      <c r="F17" s="2" t="s">
        <v>100</v>
      </c>
      <c r="G17" s="2" t="str">
        <f>CONCATENATE("R-",Length)</f>
        <v>R-100</v>
      </c>
      <c r="H17" s="2" t="s">
        <v>100</v>
      </c>
      <c r="I17" s="2" t="s">
        <v>100</v>
      </c>
      <c r="J17" s="2" t="s">
        <v>19</v>
      </c>
      <c r="K17" s="2">
        <f>ConcreteExtrusionWidth</f>
        <v>3.75</v>
      </c>
      <c r="L17" s="2">
        <f>ConcreteExtrusionHeight</f>
        <v>3.42</v>
      </c>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x14ac:dyDescent="0.45">
      <c r="A18" s="2">
        <v>11</v>
      </c>
      <c r="B18" s="91" t="s">
        <v>1</v>
      </c>
      <c r="C18" s="77" t="s">
        <v>18</v>
      </c>
      <c r="D18" s="2" t="s">
        <v>100</v>
      </c>
      <c r="E18" s="2" t="s">
        <v>100</v>
      </c>
      <c r="F18" s="2" t="s">
        <v>100</v>
      </c>
      <c r="G18" s="2" t="s">
        <v>100</v>
      </c>
      <c r="H18" s="2" t="str">
        <f>CONCATENATE("R",ConcreteExtrusionSpacing)</f>
        <v>R4</v>
      </c>
      <c r="I18" s="2" t="s">
        <v>100</v>
      </c>
      <c r="J18" s="2" t="s">
        <v>19</v>
      </c>
      <c r="K18" s="2">
        <f>ConcreteExtrusionWidth</f>
        <v>3.75</v>
      </c>
      <c r="L18" s="2">
        <f>ConcreteExtrusionHeight</f>
        <v>3.42</v>
      </c>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45">
      <c r="A19" s="2">
        <v>12</v>
      </c>
      <c r="B19" s="91" t="s">
        <v>1</v>
      </c>
      <c r="C19" s="77" t="s">
        <v>18</v>
      </c>
      <c r="D19" s="2" t="s">
        <v>100</v>
      </c>
      <c r="E19" s="2" t="s">
        <v>100</v>
      </c>
      <c r="F19" s="2" t="s">
        <v>100</v>
      </c>
      <c r="G19" s="2" t="str">
        <f>CONCATENATE("R",Length)</f>
        <v>R100</v>
      </c>
      <c r="H19" s="2" t="s">
        <v>100</v>
      </c>
      <c r="I19" s="2" t="s">
        <v>100</v>
      </c>
      <c r="J19" s="2" t="s">
        <v>19</v>
      </c>
      <c r="K19" s="2">
        <f>ConcreteExtrusionWidth</f>
        <v>3.75</v>
      </c>
      <c r="L19" s="2">
        <f>ConcreteExtrusionHeight</f>
        <v>3.42</v>
      </c>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45">
      <c r="A20" s="2">
        <v>13</v>
      </c>
      <c r="B20" s="91" t="s">
        <v>55</v>
      </c>
      <c r="C20" s="77" t="s">
        <v>842</v>
      </c>
      <c r="D20" s="2">
        <v>0</v>
      </c>
      <c r="E20" s="2">
        <f>(2*ConcreteExtrusionSpacing)</f>
        <v>8</v>
      </c>
      <c r="F20" s="2">
        <v>0</v>
      </c>
      <c r="G20" s="2">
        <f>(BeamPerimeterWidth/2)-1</f>
        <v>3</v>
      </c>
      <c r="H20" s="2"/>
      <c r="I20" s="2"/>
      <c r="J20" s="2"/>
      <c r="K20" s="2"/>
      <c r="L20" s="2"/>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45">
      <c r="A21" s="2">
        <v>14</v>
      </c>
      <c r="B21" s="91" t="s">
        <v>39</v>
      </c>
      <c r="C21" s="77">
        <v>0</v>
      </c>
      <c r="D21" s="2">
        <v>0</v>
      </c>
      <c r="E21" s="2">
        <f>ConcreteLayerHeight</f>
        <v>2.7</v>
      </c>
      <c r="F21" s="2">
        <v>6000</v>
      </c>
      <c r="G21" s="2"/>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45">
      <c r="A22" s="2">
        <v>15</v>
      </c>
      <c r="B22" s="91" t="s">
        <v>55</v>
      </c>
      <c r="C22" s="77" t="s">
        <v>843</v>
      </c>
      <c r="D22" s="2">
        <v>0</v>
      </c>
      <c r="E22" s="2">
        <v>0</v>
      </c>
      <c r="F22" s="2">
        <f>2*ConcreteLayerHeight</f>
        <v>5.4</v>
      </c>
      <c r="G22" s="2">
        <f>(ConcreteBaseLayers/2)-1</f>
        <v>0</v>
      </c>
      <c r="H22" s="2"/>
      <c r="I22" s="2"/>
      <c r="J22" s="2"/>
      <c r="K22" s="2"/>
      <c r="L22" s="2"/>
      <c r="M22" s="2"/>
      <c r="N22" s="2"/>
      <c r="O22" s="2"/>
      <c r="P22" s="2"/>
      <c r="Q22" s="2" t="s">
        <v>844</v>
      </c>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45">
      <c r="A23" s="2">
        <v>16</v>
      </c>
      <c r="B23" s="91" t="s">
        <v>1</v>
      </c>
      <c r="C23" s="2" t="s">
        <v>18</v>
      </c>
      <c r="D23" s="2" t="s">
        <v>100</v>
      </c>
      <c r="E23" s="2" t="s">
        <v>100</v>
      </c>
      <c r="F23" s="2" t="s">
        <v>100</v>
      </c>
      <c r="G23" s="2" t="str">
        <f>CONCATENATE("R", 2*ConcreteExtrusionSpacing)</f>
        <v>R8</v>
      </c>
      <c r="H23" s="2" t="s">
        <v>100</v>
      </c>
      <c r="I23" s="2" t="str">
        <f>CONCATENATE("R", 2*ConcreteLayerHeight)</f>
        <v>R5.4</v>
      </c>
      <c r="J23" s="2" t="s">
        <v>23</v>
      </c>
      <c r="K23" s="2">
        <f>ConcreteExtrusionWidth</f>
        <v>3.75</v>
      </c>
      <c r="L23" s="2">
        <f>ConcreteExtrusionHeight</f>
        <v>3.42</v>
      </c>
      <c r="M23" s="2"/>
      <c r="N23" s="2"/>
      <c r="O23" s="2"/>
      <c r="P23" s="2"/>
      <c r="Q23" s="2" t="s">
        <v>795</v>
      </c>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45">
      <c r="A24" s="2">
        <v>17</v>
      </c>
      <c r="B24" s="91" t="s">
        <v>1</v>
      </c>
      <c r="C24" s="2" t="s">
        <v>18</v>
      </c>
      <c r="D24" s="2" t="s">
        <v>100</v>
      </c>
      <c r="E24" s="2" t="s">
        <v>100</v>
      </c>
      <c r="F24" s="2" t="s">
        <v>100</v>
      </c>
      <c r="G24" s="2" t="s">
        <v>100</v>
      </c>
      <c r="H24" s="2" t="str">
        <f>CONCATENATE("R", 2*ConcreteExtrusionSpacing+Width)</f>
        <v>R40</v>
      </c>
      <c r="I24" s="2" t="s">
        <v>100</v>
      </c>
      <c r="J24" s="2" t="s">
        <v>23</v>
      </c>
      <c r="K24" s="2">
        <f>ConcreteExtrusionWidth</f>
        <v>3.75</v>
      </c>
      <c r="L24" s="2">
        <f>ConcreteExtrusionHeight</f>
        <v>3.42</v>
      </c>
      <c r="M24" s="2"/>
      <c r="N24" s="2"/>
      <c r="O24" s="2"/>
      <c r="P24" s="2"/>
      <c r="Q24" s="2"/>
      <c r="R24"/>
      <c r="S24" s="5" t="s">
        <v>168</v>
      </c>
      <c r="T24" s="5">
        <f>ConcretePrimeY</f>
        <v>125</v>
      </c>
      <c r="U24" s="5" t="s">
        <v>44</v>
      </c>
      <c r="V24"/>
      <c r="W24"/>
      <c r="X24"/>
      <c r="Y24"/>
      <c r="Z24"/>
      <c r="AA24"/>
      <c r="AB24"/>
      <c r="AC24"/>
      <c r="AD24"/>
      <c r="AE24"/>
      <c r="AF24"/>
      <c r="AG24"/>
      <c r="AH24"/>
      <c r="AI24"/>
      <c r="AJ24"/>
      <c r="AK24"/>
      <c r="AL24"/>
      <c r="AM24"/>
      <c r="AN24"/>
    </row>
    <row r="25" spans="1:40" x14ac:dyDescent="0.45">
      <c r="A25" s="2">
        <v>18</v>
      </c>
      <c r="B25" s="91" t="s">
        <v>49</v>
      </c>
      <c r="C25" s="2" t="s">
        <v>203</v>
      </c>
      <c r="D25" s="2">
        <v>1</v>
      </c>
      <c r="E25" s="2"/>
      <c r="F25" s="2"/>
      <c r="G25" s="2"/>
      <c r="H25" s="2"/>
      <c r="I25" s="2"/>
      <c r="J25" s="2"/>
      <c r="K25" s="2"/>
      <c r="L25" s="2"/>
      <c r="M25" s="2"/>
      <c r="N25" s="2"/>
      <c r="O25" s="2"/>
      <c r="P25" s="2"/>
      <c r="Q25" s="2" t="s">
        <v>976</v>
      </c>
      <c r="R25"/>
      <c r="S25" s="5" t="s">
        <v>169</v>
      </c>
      <c r="T25" s="5">
        <f>ConcreteLayerHeight</f>
        <v>2.7</v>
      </c>
      <c r="U25" s="5" t="s">
        <v>44</v>
      </c>
      <c r="V25"/>
      <c r="W25"/>
      <c r="X25"/>
      <c r="Y25"/>
      <c r="Z25"/>
      <c r="AA25"/>
      <c r="AB25"/>
      <c r="AC25"/>
      <c r="AD25"/>
      <c r="AE25"/>
      <c r="AF25"/>
      <c r="AG25"/>
      <c r="AH25"/>
      <c r="AI25"/>
      <c r="AJ25"/>
      <c r="AK25"/>
      <c r="AL25"/>
      <c r="AM25"/>
      <c r="AN25"/>
    </row>
    <row r="26" spans="1:40" x14ac:dyDescent="0.45">
      <c r="A26" s="2">
        <v>19</v>
      </c>
      <c r="B26" s="91" t="s">
        <v>1</v>
      </c>
      <c r="C26" s="2" t="s">
        <v>18</v>
      </c>
      <c r="D26" s="2" t="s">
        <v>100</v>
      </c>
      <c r="E26" s="2" t="s">
        <v>100</v>
      </c>
      <c r="F26" s="2" t="s">
        <v>100</v>
      </c>
      <c r="G26" s="2">
        <f>StartX-(Length/2)</f>
        <v>225</v>
      </c>
      <c r="H26" s="2">
        <f>StartY-((ConcreteSidePerimeters+1.5)*ConcreteExtrusionSpacing)</f>
        <v>86</v>
      </c>
      <c r="I26" s="2">
        <f>(ConcreteBaseLayers+1)*ConcreteLayerHeight</f>
        <v>8.1000000000000014</v>
      </c>
      <c r="J26" s="2" t="s">
        <v>23</v>
      </c>
      <c r="K26" s="2"/>
      <c r="L26" s="2"/>
      <c r="M26" s="2" t="s">
        <v>977</v>
      </c>
      <c r="N26" s="2"/>
      <c r="O26" s="2"/>
      <c r="P26" s="2"/>
      <c r="Q26" s="2" t="s">
        <v>978</v>
      </c>
      <c r="R26"/>
      <c r="S26" s="62" t="s">
        <v>339</v>
      </c>
      <c r="T26" s="5">
        <v>0</v>
      </c>
      <c r="U26" s="5"/>
      <c r="V26" s="1"/>
      <c r="W26"/>
      <c r="X26"/>
      <c r="Y26"/>
      <c r="Z26"/>
      <c r="AA26"/>
      <c r="AB26"/>
      <c r="AC26"/>
      <c r="AD26"/>
      <c r="AE26"/>
      <c r="AF26"/>
      <c r="AG26"/>
      <c r="AH26"/>
      <c r="AI26"/>
      <c r="AJ26"/>
      <c r="AK26"/>
      <c r="AL26"/>
      <c r="AM26"/>
      <c r="AN26"/>
    </row>
    <row r="27" spans="1:40" x14ac:dyDescent="0.45">
      <c r="A27" s="2">
        <v>20</v>
      </c>
      <c r="B27" s="91" t="s">
        <v>49</v>
      </c>
      <c r="C27" s="2" t="s">
        <v>979</v>
      </c>
      <c r="D27" s="2"/>
      <c r="E27" s="2"/>
      <c r="F27" s="2"/>
      <c r="G27" s="2"/>
      <c r="H27" s="2"/>
      <c r="I27" s="2"/>
      <c r="J27" s="2"/>
      <c r="K27" s="2"/>
      <c r="L27" s="2"/>
      <c r="M27" s="2"/>
      <c r="N27" s="2"/>
      <c r="O27" s="2"/>
      <c r="P27" s="2"/>
      <c r="Q27" s="2" t="s">
        <v>981</v>
      </c>
      <c r="R27"/>
      <c r="S27" s="5" t="s">
        <v>154</v>
      </c>
      <c r="T27" s="5" t="s">
        <v>166</v>
      </c>
      <c r="U27" s="5" t="s">
        <v>158</v>
      </c>
      <c r="V27"/>
      <c r="W27"/>
      <c r="X27"/>
      <c r="Y27"/>
      <c r="Z27"/>
      <c r="AA27"/>
      <c r="AB27"/>
      <c r="AC27"/>
      <c r="AD27"/>
      <c r="AE27"/>
      <c r="AF27"/>
      <c r="AG27"/>
      <c r="AH27"/>
      <c r="AI27"/>
      <c r="AJ27"/>
      <c r="AK27"/>
      <c r="AL27"/>
      <c r="AM27"/>
      <c r="AN27"/>
    </row>
    <row r="28" spans="1:40" x14ac:dyDescent="0.45">
      <c r="A28" s="2">
        <v>21</v>
      </c>
      <c r="B28" s="91" t="s">
        <v>1</v>
      </c>
      <c r="C28" s="2" t="s">
        <v>18</v>
      </c>
      <c r="D28" s="2" t="s">
        <v>100</v>
      </c>
      <c r="E28" s="2" t="s">
        <v>100</v>
      </c>
      <c r="F28" s="2" t="s">
        <v>100</v>
      </c>
      <c r="G28" s="2" t="s">
        <v>100</v>
      </c>
      <c r="H28" s="2" t="s">
        <v>100</v>
      </c>
      <c r="I28" s="2" t="s">
        <v>355</v>
      </c>
      <c r="J28" s="2" t="s">
        <v>23</v>
      </c>
      <c r="K28" s="2"/>
      <c r="L28" s="2"/>
      <c r="M28" s="2" t="s">
        <v>980</v>
      </c>
      <c r="N28" s="2"/>
      <c r="O28" s="2"/>
      <c r="P28" s="2"/>
      <c r="Q28" s="2" t="s">
        <v>358</v>
      </c>
      <c r="R28"/>
      <c r="S28" s="5" t="s">
        <v>159</v>
      </c>
      <c r="T28" s="5">
        <v>2</v>
      </c>
      <c r="U28" s="5" t="s">
        <v>44</v>
      </c>
      <c r="V28" s="1"/>
      <c r="W28"/>
      <c r="X28"/>
      <c r="Y28"/>
      <c r="Z28"/>
      <c r="AA28"/>
      <c r="AB28"/>
      <c r="AC28"/>
      <c r="AD28"/>
      <c r="AE28"/>
      <c r="AF28"/>
      <c r="AG28"/>
      <c r="AH28"/>
      <c r="AI28"/>
      <c r="AJ28"/>
      <c r="AK28"/>
      <c r="AL28"/>
      <c r="AM28"/>
      <c r="AN28"/>
    </row>
    <row r="29" spans="1:40" x14ac:dyDescent="0.45">
      <c r="A29" s="2">
        <v>22</v>
      </c>
      <c r="B29" s="91" t="s">
        <v>49</v>
      </c>
      <c r="C29" s="2" t="s">
        <v>203</v>
      </c>
      <c r="D29" s="2">
        <v>2</v>
      </c>
      <c r="E29" s="2"/>
      <c r="F29" s="2"/>
      <c r="G29" s="2"/>
      <c r="H29" s="2"/>
      <c r="I29" s="2"/>
      <c r="J29" s="2"/>
      <c r="K29" s="2"/>
      <c r="L29" s="2"/>
      <c r="M29" s="2"/>
      <c r="N29" s="2"/>
      <c r="O29" s="2"/>
      <c r="P29" s="2"/>
      <c r="Q29" s="2" t="s">
        <v>982</v>
      </c>
      <c r="R29"/>
      <c r="S29" s="5" t="s">
        <v>160</v>
      </c>
      <c r="T29" s="5">
        <v>1.25</v>
      </c>
      <c r="U29" s="5" t="s">
        <v>90</v>
      </c>
      <c r="V29"/>
      <c r="W29"/>
      <c r="X29"/>
      <c r="Y29"/>
      <c r="Z29"/>
      <c r="AA29"/>
      <c r="AB29"/>
      <c r="AC29"/>
      <c r="AD29"/>
      <c r="AE29"/>
      <c r="AF29"/>
      <c r="AG29"/>
      <c r="AH29"/>
      <c r="AI29"/>
      <c r="AJ29"/>
      <c r="AK29"/>
      <c r="AL29"/>
      <c r="AM29"/>
      <c r="AN29"/>
    </row>
    <row r="30" spans="1:40" x14ac:dyDescent="0.45">
      <c r="A30" s="2">
        <v>23</v>
      </c>
      <c r="B30" s="2" t="s">
        <v>49</v>
      </c>
      <c r="C30" s="2" t="s">
        <v>792</v>
      </c>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45">
      <c r="A31" s="2">
        <v>24</v>
      </c>
      <c r="B31" s="2" t="s">
        <v>1</v>
      </c>
      <c r="C31" s="2" t="s">
        <v>18</v>
      </c>
      <c r="D31" s="2">
        <f>ConcretePrimeX+ConcretePrimeLength</f>
        <v>275</v>
      </c>
      <c r="E31" s="2">
        <f>ConcretePrimeY</f>
        <v>125</v>
      </c>
      <c r="F31" s="2" t="s">
        <v>100</v>
      </c>
      <c r="G31" s="2">
        <f>StartX</f>
        <v>275</v>
      </c>
      <c r="H31" s="2">
        <f>StartY</f>
        <v>100</v>
      </c>
      <c r="I31" s="2">
        <f>(ConcreteBaseLayers+1)*ConcreteLayerHeight</f>
        <v>8.1000000000000014</v>
      </c>
      <c r="J31" s="2" t="s">
        <v>19</v>
      </c>
      <c r="K31" s="2">
        <f>ConcreteExtrusionWidth</f>
        <v>3.75</v>
      </c>
      <c r="L31" s="2">
        <f>ConcreteExtrusionHeight</f>
        <v>3.42</v>
      </c>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45">
      <c r="A32" s="2">
        <v>25</v>
      </c>
      <c r="B32" s="91" t="s">
        <v>1</v>
      </c>
      <c r="C32" s="77" t="s">
        <v>18</v>
      </c>
      <c r="D32" s="2" t="s">
        <v>100</v>
      </c>
      <c r="E32" s="2" t="s">
        <v>100</v>
      </c>
      <c r="F32" s="2" t="s">
        <v>100</v>
      </c>
      <c r="G32" s="2" t="str">
        <f>CONCATENATE("R-",Length)</f>
        <v>R-100</v>
      </c>
      <c r="H32" s="2" t="s">
        <v>100</v>
      </c>
      <c r="I32" s="2" t="s">
        <v>100</v>
      </c>
      <c r="J32" s="2" t="s">
        <v>19</v>
      </c>
      <c r="K32" s="2">
        <f>ConcreteExtrusionWidth</f>
        <v>3.75</v>
      </c>
      <c r="L32" s="2">
        <f>ConcreteExtrusionHeight</f>
        <v>3.42</v>
      </c>
      <c r="M32" s="2"/>
      <c r="N32" s="2"/>
      <c r="O32" s="2"/>
      <c r="P32" s="2"/>
      <c r="Q32" s="2" t="s">
        <v>845</v>
      </c>
      <c r="R32"/>
      <c r="S32" s="3" t="s">
        <v>163</v>
      </c>
      <c r="T32" s="3">
        <f>T30</f>
        <v>2500</v>
      </c>
      <c r="U32" s="5" t="s">
        <v>45</v>
      </c>
      <c r="V32"/>
      <c r="W32"/>
      <c r="X32"/>
      <c r="Y32"/>
      <c r="Z32"/>
      <c r="AA32"/>
      <c r="AB32"/>
      <c r="AC32"/>
      <c r="AD32"/>
      <c r="AE32"/>
      <c r="AF32"/>
      <c r="AG32"/>
      <c r="AH32"/>
      <c r="AI32"/>
      <c r="AJ32"/>
      <c r="AK32"/>
      <c r="AL32"/>
      <c r="AM32"/>
      <c r="AN32"/>
    </row>
    <row r="33" spans="1:40" x14ac:dyDescent="0.45">
      <c r="A33" s="2">
        <v>26</v>
      </c>
      <c r="B33" s="91" t="s">
        <v>1</v>
      </c>
      <c r="C33" s="77" t="s">
        <v>18</v>
      </c>
      <c r="D33" s="2" t="s">
        <v>100</v>
      </c>
      <c r="E33" s="2" t="s">
        <v>100</v>
      </c>
      <c r="F33" s="2" t="s">
        <v>100</v>
      </c>
      <c r="G33" s="2" t="s">
        <v>100</v>
      </c>
      <c r="H33" s="2" t="str">
        <f>CONCATENATE("R-",ConcreteExtrusionSpacing)</f>
        <v>R-4</v>
      </c>
      <c r="I33" s="2" t="s">
        <v>100</v>
      </c>
      <c r="J33" s="2" t="s">
        <v>19</v>
      </c>
      <c r="K33" s="2">
        <f>ConcreteExtrusionWidth</f>
        <v>3.75</v>
      </c>
      <c r="L33" s="2">
        <f>ConcreteExtrusionHeight</f>
        <v>3.42</v>
      </c>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45">
      <c r="A34" s="2">
        <v>27</v>
      </c>
      <c r="B34" s="91" t="s">
        <v>1</v>
      </c>
      <c r="C34" s="77" t="s">
        <v>18</v>
      </c>
      <c r="D34" s="2" t="s">
        <v>100</v>
      </c>
      <c r="E34" s="2" t="s">
        <v>100</v>
      </c>
      <c r="F34" s="2" t="s">
        <v>100</v>
      </c>
      <c r="G34" s="2" t="str">
        <f>CONCATENATE("R",Length)</f>
        <v>R100</v>
      </c>
      <c r="H34" s="2" t="s">
        <v>100</v>
      </c>
      <c r="I34" s="2" t="s">
        <v>100</v>
      </c>
      <c r="J34" s="2" t="s">
        <v>19</v>
      </c>
      <c r="K34" s="2">
        <f>ConcreteExtrusionWidth</f>
        <v>3.75</v>
      </c>
      <c r="L34" s="2">
        <f>ConcreteExtrusionHeight</f>
        <v>3.42</v>
      </c>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45">
      <c r="A35" s="2">
        <v>28</v>
      </c>
      <c r="B35" s="91" t="s">
        <v>1</v>
      </c>
      <c r="C35" s="77" t="s">
        <v>18</v>
      </c>
      <c r="D35" s="2" t="s">
        <v>100</v>
      </c>
      <c r="E35" s="2" t="s">
        <v>100</v>
      </c>
      <c r="F35" s="2" t="s">
        <v>100</v>
      </c>
      <c r="G35" s="2" t="s">
        <v>100</v>
      </c>
      <c r="H35" s="2" t="str">
        <f>CONCATENATE("R-",ConcreteExtrusionSpacing)</f>
        <v>R-4</v>
      </c>
      <c r="I35" s="2" t="s">
        <v>100</v>
      </c>
      <c r="J35" s="2" t="s">
        <v>19</v>
      </c>
      <c r="K35" s="2">
        <f>ConcreteExtrusionWidth</f>
        <v>3.75</v>
      </c>
      <c r="L35" s="2">
        <f>ConcreteExtrusionHeight</f>
        <v>3.42</v>
      </c>
      <c r="M35" s="2"/>
      <c r="N35" s="2"/>
      <c r="O35" s="2"/>
      <c r="P35" s="2"/>
      <c r="Q35" s="2"/>
      <c r="R35"/>
      <c r="S35"/>
      <c r="T35"/>
      <c r="U35" s="69"/>
      <c r="V35"/>
      <c r="W35"/>
      <c r="X35"/>
      <c r="Y35"/>
      <c r="Z35"/>
      <c r="AA35"/>
      <c r="AB35"/>
      <c r="AC35"/>
      <c r="AD35"/>
      <c r="AE35"/>
      <c r="AF35"/>
      <c r="AG35"/>
      <c r="AH35"/>
      <c r="AI35"/>
      <c r="AJ35"/>
      <c r="AK35"/>
      <c r="AL35"/>
      <c r="AM35"/>
      <c r="AN35"/>
    </row>
    <row r="36" spans="1:40" x14ac:dyDescent="0.45">
      <c r="A36" s="2">
        <v>29</v>
      </c>
      <c r="B36" s="91" t="s">
        <v>55</v>
      </c>
      <c r="C36" s="77" t="s">
        <v>983</v>
      </c>
      <c r="D36" s="2">
        <v>0</v>
      </c>
      <c r="E36" s="2">
        <f>-(2*ConcreteExtrusionSpacing)</f>
        <v>-8</v>
      </c>
      <c r="F36" s="2">
        <v>0</v>
      </c>
      <c r="G36" s="2">
        <f>(ConcreteSidePerimeters/2)-1</f>
        <v>0</v>
      </c>
      <c r="H36" s="2"/>
      <c r="I36" s="2"/>
      <c r="J36" s="2"/>
      <c r="K36" s="2"/>
      <c r="L36" s="2"/>
      <c r="M36" s="2"/>
      <c r="N36" s="2"/>
      <c r="O36" s="2"/>
      <c r="P36" s="2"/>
      <c r="Q36" s="2" t="s">
        <v>847</v>
      </c>
      <c r="R36"/>
      <c r="S36" s="75" t="s">
        <v>292</v>
      </c>
      <c r="T36" s="75" t="s">
        <v>293</v>
      </c>
      <c r="U36" s="76" t="s">
        <v>331</v>
      </c>
      <c r="V36"/>
      <c r="W36"/>
      <c r="X36"/>
      <c r="Y36"/>
      <c r="Z36"/>
      <c r="AA36"/>
      <c r="AB36"/>
      <c r="AC36"/>
      <c r="AD36"/>
      <c r="AE36"/>
      <c r="AF36"/>
      <c r="AG36"/>
      <c r="AH36"/>
      <c r="AI36"/>
      <c r="AJ36"/>
      <c r="AK36"/>
      <c r="AL36"/>
      <c r="AM36"/>
      <c r="AN36"/>
    </row>
    <row r="37" spans="1:40" x14ac:dyDescent="0.45">
      <c r="A37" s="2">
        <v>30</v>
      </c>
      <c r="B37" s="91" t="s">
        <v>1</v>
      </c>
      <c r="C37" s="77" t="s">
        <v>18</v>
      </c>
      <c r="D37" s="2" t="s">
        <v>100</v>
      </c>
      <c r="E37" s="2" t="s">
        <v>100</v>
      </c>
      <c r="F37" s="2" t="s">
        <v>100</v>
      </c>
      <c r="G37" s="2" t="str">
        <f>CONCATENATE("R-",((Length-DominoLength)/2)-(ConcreteExtrusionSpacing/2))</f>
        <v>R-32.75</v>
      </c>
      <c r="H37" s="2" t="s">
        <v>100</v>
      </c>
      <c r="I37" s="2" t="s">
        <v>100</v>
      </c>
      <c r="J37" s="2" t="s">
        <v>19</v>
      </c>
      <c r="K37" s="2">
        <f>ConcreteExtrusionWidth</f>
        <v>3.75</v>
      </c>
      <c r="L37" s="2">
        <f>ConcreteExtrusionHeight</f>
        <v>3.42</v>
      </c>
      <c r="M37" s="2"/>
      <c r="N37" s="2"/>
      <c r="O37" s="2"/>
      <c r="P37" s="2"/>
      <c r="Q37" s="2" t="s">
        <v>850</v>
      </c>
      <c r="R37"/>
      <c r="S37" s="59" t="s">
        <v>699</v>
      </c>
      <c r="T37" s="59">
        <v>4</v>
      </c>
      <c r="U37" s="71">
        <v>5</v>
      </c>
      <c r="V37"/>
      <c r="W37"/>
      <c r="X37"/>
      <c r="Y37"/>
      <c r="Z37"/>
      <c r="AA37"/>
      <c r="AB37"/>
      <c r="AC37"/>
      <c r="AD37"/>
      <c r="AE37"/>
      <c r="AF37"/>
      <c r="AG37"/>
      <c r="AH37"/>
      <c r="AI37"/>
      <c r="AJ37"/>
      <c r="AK37"/>
      <c r="AL37"/>
      <c r="AM37"/>
      <c r="AN37"/>
    </row>
    <row r="38" spans="1:40" x14ac:dyDescent="0.45">
      <c r="A38" s="2">
        <v>31</v>
      </c>
      <c r="B38" s="91" t="s">
        <v>1</v>
      </c>
      <c r="C38" s="77" t="s">
        <v>18</v>
      </c>
      <c r="D38" s="2" t="s">
        <v>100</v>
      </c>
      <c r="E38" s="2" t="s">
        <v>100</v>
      </c>
      <c r="F38" s="2" t="s">
        <v>100</v>
      </c>
      <c r="G38" s="2" t="s">
        <v>100</v>
      </c>
      <c r="H38" s="2" t="str">
        <f>CONCATENATE("R-",ConcreteExtrusionSpacing)</f>
        <v>R-4</v>
      </c>
      <c r="I38" s="2" t="s">
        <v>100</v>
      </c>
      <c r="J38" s="2" t="s">
        <v>19</v>
      </c>
      <c r="K38" s="2">
        <f>ConcreteExtrusionWidth</f>
        <v>3.75</v>
      </c>
      <c r="L38" s="2">
        <f>ConcreteExtrusionHeight</f>
        <v>3.42</v>
      </c>
      <c r="M38" s="2"/>
      <c r="N38" s="2"/>
      <c r="O38" s="2"/>
      <c r="P38" s="2"/>
      <c r="Q38" s="2"/>
      <c r="R38"/>
      <c r="S38" s="59" t="s">
        <v>703</v>
      </c>
      <c r="T38" s="59">
        <v>4</v>
      </c>
      <c r="U38" s="71">
        <v>3.2</v>
      </c>
      <c r="V38"/>
      <c r="W38"/>
      <c r="X38"/>
      <c r="Y38"/>
      <c r="Z38"/>
      <c r="AA38"/>
      <c r="AB38"/>
      <c r="AC38"/>
      <c r="AD38"/>
      <c r="AE38"/>
      <c r="AF38"/>
      <c r="AG38"/>
      <c r="AH38"/>
      <c r="AI38"/>
      <c r="AJ38"/>
      <c r="AK38"/>
      <c r="AL38"/>
      <c r="AM38"/>
      <c r="AN38"/>
    </row>
    <row r="39" spans="1:40" x14ac:dyDescent="0.45">
      <c r="A39" s="2">
        <v>32</v>
      </c>
      <c r="B39" s="91" t="s">
        <v>1</v>
      </c>
      <c r="C39" s="77" t="s">
        <v>18</v>
      </c>
      <c r="D39" s="2" t="s">
        <v>100</v>
      </c>
      <c r="E39" s="2" t="s">
        <v>100</v>
      </c>
      <c r="F39" s="2" t="s">
        <v>100</v>
      </c>
      <c r="G39" s="2" t="str">
        <f>CONCATENATE("R",((Length-DominoLength)/2)-(ConcreteExtrusionSpacing/2))</f>
        <v>R32.75</v>
      </c>
      <c r="H39" s="2" t="s">
        <v>100</v>
      </c>
      <c r="I39" s="2" t="s">
        <v>100</v>
      </c>
      <c r="J39" s="2" t="s">
        <v>19</v>
      </c>
      <c r="K39" s="2">
        <f>ConcreteExtrusionWidth</f>
        <v>3.75</v>
      </c>
      <c r="L39" s="2">
        <f>ConcreteExtrusionHeight</f>
        <v>3.42</v>
      </c>
      <c r="M39" s="2"/>
      <c r="N39" s="2"/>
      <c r="O39" s="2"/>
      <c r="P39" s="2"/>
      <c r="Q39" s="2"/>
      <c r="S39" s="71" t="s">
        <v>700</v>
      </c>
      <c r="T39" s="71">
        <v>3.75</v>
      </c>
      <c r="U39" s="71" t="s">
        <v>109</v>
      </c>
    </row>
    <row r="40" spans="1:40" x14ac:dyDescent="0.45">
      <c r="A40" s="2">
        <v>33</v>
      </c>
      <c r="B40" s="91" t="s">
        <v>1</v>
      </c>
      <c r="C40" s="77" t="s">
        <v>18</v>
      </c>
      <c r="D40" s="2" t="s">
        <v>100</v>
      </c>
      <c r="E40" s="2" t="s">
        <v>100</v>
      </c>
      <c r="F40" s="2" t="s">
        <v>100</v>
      </c>
      <c r="G40" s="2" t="s">
        <v>100</v>
      </c>
      <c r="H40" s="2" t="str">
        <f>CONCATENATE("R-",ConcreteExtrusionSpacing)</f>
        <v>R-4</v>
      </c>
      <c r="I40" s="2" t="s">
        <v>100</v>
      </c>
      <c r="J40" s="2" t="s">
        <v>19</v>
      </c>
      <c r="K40" s="2">
        <f>ConcreteExtrusionWidth</f>
        <v>3.75</v>
      </c>
      <c r="L40" s="2">
        <f>ConcreteExtrusionHeight</f>
        <v>3.42</v>
      </c>
      <c r="M40" s="2"/>
      <c r="N40" s="2"/>
      <c r="O40" s="2"/>
      <c r="P40" s="2"/>
      <c r="Q40" s="2"/>
      <c r="S40" s="71" t="s">
        <v>704</v>
      </c>
      <c r="T40" s="71">
        <v>3.75</v>
      </c>
      <c r="U40" s="71" t="s">
        <v>109</v>
      </c>
    </row>
    <row r="41" spans="1:40" x14ac:dyDescent="0.45">
      <c r="A41" s="2">
        <v>34</v>
      </c>
      <c r="B41" s="91" t="s">
        <v>55</v>
      </c>
      <c r="C41" s="77" t="s">
        <v>984</v>
      </c>
      <c r="D41" s="2">
        <v>0</v>
      </c>
      <c r="E41" s="2">
        <f>-(2*ConcreteExtrusionSpacing)</f>
        <v>-8</v>
      </c>
      <c r="F41" s="2">
        <v>0</v>
      </c>
      <c r="G41" s="2" cm="1">
        <f t="array" ref="G41">(DominoPerimeterWidth/2)-1</f>
        <v>1</v>
      </c>
      <c r="H41" s="2"/>
      <c r="I41" s="2"/>
      <c r="J41" s="2"/>
      <c r="K41" s="2"/>
      <c r="L41" s="2"/>
      <c r="M41" s="2"/>
      <c r="N41" s="2"/>
      <c r="O41" s="2"/>
      <c r="P41" s="2"/>
      <c r="Q41" s="2" t="s">
        <v>851</v>
      </c>
      <c r="S41" s="71" t="s">
        <v>701</v>
      </c>
      <c r="T41" s="71">
        <v>3.42</v>
      </c>
      <c r="U41" s="71" t="s">
        <v>109</v>
      </c>
    </row>
    <row r="42" spans="1:40" x14ac:dyDescent="0.45">
      <c r="A42" s="2">
        <v>35</v>
      </c>
      <c r="B42" s="91" t="s">
        <v>1</v>
      </c>
      <c r="C42" s="77" t="s">
        <v>18</v>
      </c>
      <c r="D42" s="2" t="s">
        <v>100</v>
      </c>
      <c r="E42" s="2" t="s">
        <v>100</v>
      </c>
      <c r="F42" s="2" t="s">
        <v>100</v>
      </c>
      <c r="G42" s="2" t="str">
        <f>CONCATENATE("R-",Length)</f>
        <v>R-100</v>
      </c>
      <c r="H42" s="2" t="s">
        <v>100</v>
      </c>
      <c r="I42" s="2" t="s">
        <v>100</v>
      </c>
      <c r="J42" s="2" t="s">
        <v>19</v>
      </c>
      <c r="K42" s="2">
        <f>ConcreteExtrusionWidth</f>
        <v>3.75</v>
      </c>
      <c r="L42" s="2">
        <f>ConcreteExtrusionHeight</f>
        <v>3.42</v>
      </c>
      <c r="M42" s="2"/>
      <c r="N42" s="2"/>
      <c r="O42" s="2"/>
      <c r="P42" s="2"/>
      <c r="Q42" s="2" t="s">
        <v>853</v>
      </c>
      <c r="S42" s="71" t="s">
        <v>705</v>
      </c>
      <c r="T42" s="59">
        <f>3*0.728951</f>
        <v>2.1868530000000002</v>
      </c>
      <c r="U42" s="71" t="s">
        <v>109</v>
      </c>
    </row>
    <row r="43" spans="1:40" x14ac:dyDescent="0.45">
      <c r="A43" s="2">
        <v>36</v>
      </c>
      <c r="B43" s="91" t="s">
        <v>1</v>
      </c>
      <c r="C43" s="77" t="s">
        <v>18</v>
      </c>
      <c r="D43" s="2" t="s">
        <v>100</v>
      </c>
      <c r="E43" s="2" t="s">
        <v>100</v>
      </c>
      <c r="F43" s="2" t="s">
        <v>100</v>
      </c>
      <c r="G43" s="2" t="s">
        <v>100</v>
      </c>
      <c r="H43" s="2" t="str">
        <f>CONCATENATE("R-",ConcreteExtrusionSpacing)</f>
        <v>R-4</v>
      </c>
      <c r="I43" s="2" t="s">
        <v>100</v>
      </c>
      <c r="J43" s="2" t="s">
        <v>19</v>
      </c>
      <c r="K43" s="2">
        <f>ConcreteExtrusionWidth</f>
        <v>3.75</v>
      </c>
      <c r="L43" s="2">
        <f>ConcreteExtrusionHeight</f>
        <v>3.42</v>
      </c>
      <c r="M43" s="2"/>
      <c r="N43" s="2"/>
      <c r="O43" s="2"/>
      <c r="P43" s="2"/>
      <c r="Q43" s="2"/>
      <c r="S43" s="59" t="s">
        <v>644</v>
      </c>
      <c r="T43" s="59" t="s">
        <v>499</v>
      </c>
      <c r="U43" s="71" t="s">
        <v>109</v>
      </c>
    </row>
    <row r="44" spans="1:40" x14ac:dyDescent="0.45">
      <c r="A44" s="2">
        <v>37</v>
      </c>
      <c r="B44" s="91" t="s">
        <v>1</v>
      </c>
      <c r="C44" s="77" t="s">
        <v>18</v>
      </c>
      <c r="D44" s="2" t="s">
        <v>100</v>
      </c>
      <c r="E44" s="2" t="s">
        <v>100</v>
      </c>
      <c r="F44" s="2" t="s">
        <v>100</v>
      </c>
      <c r="G44" s="2" t="str">
        <f>CONCATENATE("R",Length)</f>
        <v>R100</v>
      </c>
      <c r="H44" s="2" t="s">
        <v>100</v>
      </c>
      <c r="I44" s="2" t="s">
        <v>100</v>
      </c>
      <c r="J44" s="2" t="s">
        <v>19</v>
      </c>
      <c r="K44" s="2">
        <f>ConcreteExtrusionWidth</f>
        <v>3.75</v>
      </c>
      <c r="L44" s="2">
        <f>ConcreteExtrusionHeight</f>
        <v>3.42</v>
      </c>
      <c r="M44" s="2"/>
      <c r="N44" s="2"/>
      <c r="O44" s="2"/>
      <c r="P44" s="2"/>
      <c r="Q44" s="2"/>
      <c r="S44" s="59" t="s">
        <v>702</v>
      </c>
      <c r="T44" s="59">
        <v>2.7</v>
      </c>
      <c r="U44" s="71" t="s">
        <v>109</v>
      </c>
    </row>
    <row r="45" spans="1:40" x14ac:dyDescent="0.45">
      <c r="A45" s="2">
        <v>38</v>
      </c>
      <c r="B45" s="91" t="s">
        <v>1</v>
      </c>
      <c r="C45" s="77" t="s">
        <v>18</v>
      </c>
      <c r="D45" s="2" t="s">
        <v>100</v>
      </c>
      <c r="E45" s="2" t="s">
        <v>100</v>
      </c>
      <c r="F45" s="2" t="s">
        <v>100</v>
      </c>
      <c r="G45" s="2" t="s">
        <v>100</v>
      </c>
      <c r="H45" s="2" t="str">
        <f>CONCATENATE("R-",ConcreteExtrusionSpacing)</f>
        <v>R-4</v>
      </c>
      <c r="I45" s="2" t="s">
        <v>100</v>
      </c>
      <c r="J45" s="2" t="s">
        <v>19</v>
      </c>
      <c r="K45" s="2">
        <f>ConcreteExtrusionWidth</f>
        <v>3.75</v>
      </c>
      <c r="L45" s="2">
        <f>ConcreteExtrusionHeight</f>
        <v>3.42</v>
      </c>
      <c r="M45" s="2"/>
      <c r="N45" s="2"/>
      <c r="O45" s="2"/>
      <c r="P45" s="2"/>
      <c r="Q45" s="2"/>
      <c r="S45" s="59" t="s">
        <v>706</v>
      </c>
      <c r="T45" s="59">
        <v>2.7</v>
      </c>
      <c r="U45" s="71" t="s">
        <v>109</v>
      </c>
    </row>
    <row r="46" spans="1:40" x14ac:dyDescent="0.45">
      <c r="A46" s="2">
        <v>39</v>
      </c>
      <c r="B46" s="91" t="s">
        <v>55</v>
      </c>
      <c r="C46" s="77" t="s">
        <v>985</v>
      </c>
      <c r="D46" s="2">
        <v>0</v>
      </c>
      <c r="E46" s="2">
        <f>-(2*ConcreteExtrusionSpacing)</f>
        <v>-8</v>
      </c>
      <c r="F46" s="2">
        <v>0</v>
      </c>
      <c r="G46" s="2">
        <f>(ConcreteSidePerimeters/2)-1</f>
        <v>0</v>
      </c>
      <c r="H46" s="2"/>
      <c r="I46" s="2"/>
      <c r="J46" s="2"/>
      <c r="K46" s="2"/>
      <c r="L46" s="2"/>
      <c r="M46" s="2"/>
      <c r="N46" s="2"/>
      <c r="O46" s="2"/>
      <c r="P46" s="2"/>
      <c r="Q46" s="2" t="s">
        <v>852</v>
      </c>
      <c r="S46" s="59" t="s">
        <v>678</v>
      </c>
      <c r="T46" s="59">
        <v>100</v>
      </c>
      <c r="U46" s="71" t="s">
        <v>109</v>
      </c>
    </row>
    <row r="47" spans="1:40" x14ac:dyDescent="0.45">
      <c r="A47" s="2">
        <v>40</v>
      </c>
      <c r="B47" s="91" t="s">
        <v>39</v>
      </c>
      <c r="C47" s="77">
        <v>0</v>
      </c>
      <c r="D47" s="2">
        <v>0</v>
      </c>
      <c r="E47" s="2">
        <f>ConcreteLayerHeight</f>
        <v>2.7</v>
      </c>
      <c r="F47" s="2">
        <v>6000</v>
      </c>
      <c r="G47" s="2"/>
      <c r="H47" s="2"/>
      <c r="I47" s="2"/>
      <c r="J47" s="2"/>
      <c r="K47" s="2"/>
      <c r="L47" s="2"/>
      <c r="M47" s="2"/>
      <c r="N47" s="2"/>
      <c r="O47" s="2"/>
      <c r="P47" s="2"/>
      <c r="Q47" s="2" t="s">
        <v>854</v>
      </c>
      <c r="S47" s="59" t="s">
        <v>179</v>
      </c>
      <c r="T47" s="59">
        <v>32</v>
      </c>
      <c r="U47" s="71" t="s">
        <v>109</v>
      </c>
    </row>
    <row r="48" spans="1:40" x14ac:dyDescent="0.45">
      <c r="A48" s="2">
        <v>41</v>
      </c>
      <c r="B48" s="91" t="s">
        <v>1</v>
      </c>
      <c r="C48" s="77" t="s">
        <v>18</v>
      </c>
      <c r="D48" s="2" t="s">
        <v>100</v>
      </c>
      <c r="E48" s="2" t="s">
        <v>100</v>
      </c>
      <c r="F48" s="2" t="s">
        <v>100</v>
      </c>
      <c r="G48" s="2" t="str">
        <f>CONCATENATE("R-",Length+ConcreteExtrusionSpacing)</f>
        <v>R-104</v>
      </c>
      <c r="H48" s="2" t="s">
        <v>100</v>
      </c>
      <c r="I48" s="2" t="s">
        <v>100</v>
      </c>
      <c r="J48" s="2" t="s">
        <v>23</v>
      </c>
      <c r="K48" s="2"/>
      <c r="L48" s="2"/>
      <c r="M48" s="2"/>
      <c r="N48" s="2"/>
      <c r="O48" s="2"/>
      <c r="P48" s="2"/>
      <c r="Q48" s="2" t="s">
        <v>858</v>
      </c>
      <c r="S48" s="59" t="s">
        <v>180</v>
      </c>
      <c r="T48" s="59">
        <v>27</v>
      </c>
      <c r="U48" s="71" t="s">
        <v>109</v>
      </c>
    </row>
    <row r="49" spans="1:21" x14ac:dyDescent="0.45">
      <c r="A49" s="2">
        <v>42</v>
      </c>
      <c r="B49" s="91" t="s">
        <v>1</v>
      </c>
      <c r="C49" s="77" t="s">
        <v>18</v>
      </c>
      <c r="D49" s="2" t="s">
        <v>100</v>
      </c>
      <c r="E49" s="2" t="s">
        <v>100</v>
      </c>
      <c r="F49" s="2" t="s">
        <v>100</v>
      </c>
      <c r="G49" s="2" t="s">
        <v>100</v>
      </c>
      <c r="H49" s="2" t="str">
        <f>CONCATENATE("R",(ConcreteSidePerimeters+1)*ConcreteExtrusionSpacing)</f>
        <v>R12</v>
      </c>
      <c r="I49" s="2" t="s">
        <v>100</v>
      </c>
      <c r="J49" s="2" t="s">
        <v>23</v>
      </c>
      <c r="K49" s="2"/>
      <c r="L49" s="2"/>
      <c r="M49" s="2"/>
      <c r="N49" s="2"/>
      <c r="O49" s="2"/>
      <c r="P49" s="2"/>
      <c r="Q49" s="2"/>
      <c r="S49" s="59" t="s">
        <v>271</v>
      </c>
      <c r="T49" s="59">
        <f>275</f>
        <v>275</v>
      </c>
      <c r="U49" s="71" t="s">
        <v>109</v>
      </c>
    </row>
    <row r="50" spans="1:21" x14ac:dyDescent="0.45">
      <c r="A50" s="2">
        <v>43</v>
      </c>
      <c r="B50" s="91" t="s">
        <v>39</v>
      </c>
      <c r="C50" s="77">
        <v>0</v>
      </c>
      <c r="D50" s="2">
        <v>0</v>
      </c>
      <c r="E50" s="2">
        <f>-ConcreteLayerHeight</f>
        <v>-2.7</v>
      </c>
      <c r="F50" s="2">
        <v>6000</v>
      </c>
      <c r="G50" s="2"/>
      <c r="H50" s="2"/>
      <c r="I50" s="2"/>
      <c r="J50" s="2"/>
      <c r="K50" s="2"/>
      <c r="L50" s="2"/>
      <c r="M50" s="2"/>
      <c r="N50" s="2"/>
      <c r="O50" s="2"/>
      <c r="P50" s="2"/>
      <c r="Q50" s="2"/>
      <c r="S50" s="59" t="s">
        <v>272</v>
      </c>
      <c r="T50" s="59">
        <v>100</v>
      </c>
      <c r="U50" s="71" t="s">
        <v>109</v>
      </c>
    </row>
    <row r="51" spans="1:21" x14ac:dyDescent="0.45">
      <c r="A51" s="2">
        <v>44</v>
      </c>
      <c r="B51" s="91" t="s">
        <v>39</v>
      </c>
      <c r="C51" s="77">
        <v>-0.3</v>
      </c>
      <c r="D51" s="2">
        <v>5000</v>
      </c>
      <c r="E51" s="2">
        <v>0</v>
      </c>
      <c r="F51" s="2">
        <v>0</v>
      </c>
      <c r="G51" s="2"/>
      <c r="H51" s="2"/>
      <c r="I51" s="2"/>
      <c r="J51" s="2"/>
      <c r="K51" s="2"/>
      <c r="L51" s="2"/>
      <c r="M51" s="2"/>
      <c r="N51" s="2"/>
      <c r="O51" s="2"/>
      <c r="P51" s="2"/>
      <c r="Q51" s="2" t="s">
        <v>856</v>
      </c>
      <c r="S51" s="59" t="s">
        <v>707</v>
      </c>
      <c r="T51" s="59">
        <f>StartX-ConcretePrimeLength</f>
        <v>205</v>
      </c>
      <c r="U51" s="71" t="s">
        <v>109</v>
      </c>
    </row>
    <row r="52" spans="1:21" x14ac:dyDescent="0.45">
      <c r="A52" s="2">
        <v>45</v>
      </c>
      <c r="B52" s="91" t="s">
        <v>1</v>
      </c>
      <c r="C52" s="77" t="s">
        <v>18</v>
      </c>
      <c r="D52" s="2" t="s">
        <v>100</v>
      </c>
      <c r="E52" s="2" t="s">
        <v>100</v>
      </c>
      <c r="F52" s="2" t="s">
        <v>100</v>
      </c>
      <c r="G52" s="2" t="str">
        <f>CONCATENATE("R",ConcreteExtrusionSpacing)</f>
        <v>R4</v>
      </c>
      <c r="H52" s="2" t="s">
        <v>100</v>
      </c>
      <c r="I52" s="2" t="s">
        <v>100</v>
      </c>
      <c r="J52" s="2" t="s">
        <v>23</v>
      </c>
      <c r="K52" s="2"/>
      <c r="L52" s="2"/>
      <c r="M52" s="2"/>
      <c r="N52" s="2"/>
      <c r="O52" s="2"/>
      <c r="P52" s="2"/>
      <c r="Q52" s="2" t="s">
        <v>855</v>
      </c>
      <c r="S52" s="71" t="s">
        <v>708</v>
      </c>
      <c r="T52" s="71">
        <v>125</v>
      </c>
      <c r="U52" s="71" t="s">
        <v>109</v>
      </c>
    </row>
    <row r="53" spans="1:21" x14ac:dyDescent="0.45">
      <c r="A53" s="2">
        <v>46</v>
      </c>
      <c r="B53" s="91" t="s">
        <v>1</v>
      </c>
      <c r="C53" s="77" t="s">
        <v>18</v>
      </c>
      <c r="D53" s="2" t="s">
        <v>100</v>
      </c>
      <c r="E53" s="2" t="s">
        <v>100</v>
      </c>
      <c r="F53" s="2" t="s">
        <v>100</v>
      </c>
      <c r="G53" s="2" t="str">
        <f>CONCATENATE("R",((Length-DominoLength)/2)-(ConcreteExtrusionSpacing/2))</f>
        <v>R32.75</v>
      </c>
      <c r="H53" s="2" t="s">
        <v>100</v>
      </c>
      <c r="I53" s="2" t="s">
        <v>100</v>
      </c>
      <c r="J53" s="2" t="s">
        <v>19</v>
      </c>
      <c r="K53" s="2">
        <f>ConcreteExtrusionWidth</f>
        <v>3.75</v>
      </c>
      <c r="L53" s="2">
        <f>ConcreteExtrusionHeight</f>
        <v>3.42</v>
      </c>
      <c r="M53" s="2"/>
      <c r="N53" s="2"/>
      <c r="O53" s="2"/>
      <c r="P53" s="2"/>
      <c r="Q53" s="2" t="s">
        <v>857</v>
      </c>
      <c r="S53" s="71" t="s">
        <v>709</v>
      </c>
      <c r="T53" s="71">
        <v>70</v>
      </c>
      <c r="U53" s="71" t="s">
        <v>109</v>
      </c>
    </row>
    <row r="54" spans="1:21" x14ac:dyDescent="0.45">
      <c r="A54" s="2">
        <v>47</v>
      </c>
      <c r="B54" s="91" t="s">
        <v>1</v>
      </c>
      <c r="C54" s="77" t="s">
        <v>18</v>
      </c>
      <c r="D54" s="2" t="s">
        <v>100</v>
      </c>
      <c r="E54" s="2" t="s">
        <v>100</v>
      </c>
      <c r="F54" s="2" t="s">
        <v>100</v>
      </c>
      <c r="G54" s="2" t="s">
        <v>100</v>
      </c>
      <c r="H54" s="2" t="str">
        <f>CONCATENATE("R",ConcreteExtrusionSpacing)</f>
        <v>R4</v>
      </c>
      <c r="I54" s="2" t="s">
        <v>100</v>
      </c>
      <c r="J54" s="2" t="s">
        <v>19</v>
      </c>
      <c r="K54" s="2">
        <f>ConcreteExtrusionWidth</f>
        <v>3.75</v>
      </c>
      <c r="L54" s="2">
        <f>ConcreteExtrusionHeight</f>
        <v>3.42</v>
      </c>
      <c r="M54" s="2"/>
      <c r="N54" s="2"/>
      <c r="O54" s="2"/>
      <c r="P54" s="2"/>
      <c r="Q54" s="2"/>
      <c r="S54" s="71" t="s">
        <v>800</v>
      </c>
      <c r="T54" s="71">
        <v>1000</v>
      </c>
      <c r="U54" s="71" t="s">
        <v>109</v>
      </c>
    </row>
    <row r="55" spans="1:21" x14ac:dyDescent="0.45">
      <c r="A55" s="2">
        <v>48</v>
      </c>
      <c r="B55" s="91" t="s">
        <v>1</v>
      </c>
      <c r="C55" s="77" t="s">
        <v>18</v>
      </c>
      <c r="D55" s="2" t="s">
        <v>100</v>
      </c>
      <c r="E55" s="2" t="s">
        <v>100</v>
      </c>
      <c r="F55" s="2" t="s">
        <v>100</v>
      </c>
      <c r="G55" s="2" t="str">
        <f>CONCATENATE("R-",((Length-DominoLength)/2)-(ConcreteExtrusionSpacing/2))</f>
        <v>R-32.75</v>
      </c>
      <c r="H55" s="2" t="s">
        <v>100</v>
      </c>
      <c r="I55" s="2" t="s">
        <v>100</v>
      </c>
      <c r="J55" s="2" t="s">
        <v>19</v>
      </c>
      <c r="K55" s="2">
        <f>ConcreteExtrusionWidth</f>
        <v>3.75</v>
      </c>
      <c r="L55" s="2">
        <f>ConcreteExtrusionHeight</f>
        <v>3.42</v>
      </c>
      <c r="M55" s="2"/>
      <c r="N55" s="2"/>
      <c r="O55" s="2"/>
      <c r="P55" s="2"/>
      <c r="Q55" s="2"/>
      <c r="S55" s="71" t="s">
        <v>839</v>
      </c>
      <c r="T55" s="71">
        <v>2</v>
      </c>
      <c r="U55" s="71" t="s">
        <v>109</v>
      </c>
    </row>
    <row r="56" spans="1:21" x14ac:dyDescent="0.45">
      <c r="A56" s="2">
        <v>49</v>
      </c>
      <c r="B56" s="91" t="s">
        <v>1</v>
      </c>
      <c r="C56" s="77" t="s">
        <v>18</v>
      </c>
      <c r="D56" s="2" t="s">
        <v>100</v>
      </c>
      <c r="E56" s="2" t="s">
        <v>100</v>
      </c>
      <c r="F56" s="2" t="s">
        <v>100</v>
      </c>
      <c r="G56" s="2" t="s">
        <v>100</v>
      </c>
      <c r="H56" s="2" t="str">
        <f>CONCATENATE("R",ConcreteExtrusionSpacing)</f>
        <v>R4</v>
      </c>
      <c r="I56" s="2" t="s">
        <v>100</v>
      </c>
      <c r="J56" s="2" t="s">
        <v>19</v>
      </c>
      <c r="K56" s="2">
        <f>ConcreteExtrusionWidth</f>
        <v>3.75</v>
      </c>
      <c r="L56" s="2">
        <f>ConcreteExtrusionHeight</f>
        <v>3.42</v>
      </c>
      <c r="M56" s="2"/>
      <c r="N56" s="2"/>
      <c r="O56" s="2"/>
      <c r="P56" s="2"/>
      <c r="Q56" s="2"/>
      <c r="S56" s="71" t="s">
        <v>840</v>
      </c>
      <c r="T56" s="71">
        <v>2</v>
      </c>
      <c r="U56" s="71" t="s">
        <v>109</v>
      </c>
    </row>
    <row r="57" spans="1:21" x14ac:dyDescent="0.45">
      <c r="A57" s="2">
        <v>50</v>
      </c>
      <c r="B57" s="91" t="s">
        <v>55</v>
      </c>
      <c r="C57" s="77" t="s">
        <v>986</v>
      </c>
      <c r="D57" s="2">
        <v>0</v>
      </c>
      <c r="E57" s="2">
        <f>(2*ConcreteExtrusionSpacing)</f>
        <v>8</v>
      </c>
      <c r="F57" s="2">
        <v>0</v>
      </c>
      <c r="G57" s="2" cm="1">
        <f t="array" ref="G57">(DominoPerimeterWidth/2)-1</f>
        <v>1</v>
      </c>
      <c r="H57" s="2"/>
      <c r="I57" s="2"/>
      <c r="J57" s="2"/>
      <c r="K57" s="2"/>
      <c r="L57" s="2"/>
      <c r="M57" s="2"/>
      <c r="N57" s="2"/>
      <c r="O57" s="2"/>
      <c r="P57" s="2"/>
      <c r="Q57" s="2" t="s">
        <v>851</v>
      </c>
      <c r="S57" s="71" t="s">
        <v>846</v>
      </c>
      <c r="T57" s="71">
        <v>2</v>
      </c>
      <c r="U57" s="71" t="s">
        <v>109</v>
      </c>
    </row>
    <row r="58" spans="1:21" x14ac:dyDescent="0.45">
      <c r="A58" s="2">
        <v>51</v>
      </c>
      <c r="B58" s="91" t="s">
        <v>39</v>
      </c>
      <c r="C58" s="77">
        <v>0</v>
      </c>
      <c r="D58" s="2">
        <v>0</v>
      </c>
      <c r="E58" s="2">
        <f>ConcreteLayerHeight</f>
        <v>2.7</v>
      </c>
      <c r="F58" s="2">
        <v>6000</v>
      </c>
      <c r="G58" s="2"/>
      <c r="H58" s="2"/>
      <c r="I58" s="2"/>
      <c r="J58" s="2"/>
      <c r="K58" s="2"/>
      <c r="L58" s="2"/>
      <c r="M58" s="2"/>
      <c r="N58" s="2"/>
      <c r="O58" s="2"/>
      <c r="P58" s="2"/>
      <c r="Q58" s="2" t="s">
        <v>854</v>
      </c>
      <c r="S58" s="71" t="s">
        <v>841</v>
      </c>
      <c r="T58" s="71">
        <v>8</v>
      </c>
      <c r="U58" s="71" t="s">
        <v>109</v>
      </c>
    </row>
    <row r="59" spans="1:21" x14ac:dyDescent="0.45">
      <c r="A59" s="2">
        <v>52</v>
      </c>
      <c r="B59" s="91" t="s">
        <v>1</v>
      </c>
      <c r="C59" s="77" t="s">
        <v>18</v>
      </c>
      <c r="D59" s="2" t="s">
        <v>100</v>
      </c>
      <c r="E59" s="2" t="s">
        <v>100</v>
      </c>
      <c r="F59" s="2" t="s">
        <v>100</v>
      </c>
      <c r="G59" s="2" t="str">
        <f>CONCATENATE("R-",ConcreteExtrusionSpacing)</f>
        <v>R-4</v>
      </c>
      <c r="H59" s="2" t="s">
        <v>100</v>
      </c>
      <c r="I59" s="2" t="s">
        <v>100</v>
      </c>
      <c r="J59" s="2" t="s">
        <v>23</v>
      </c>
      <c r="K59" s="2"/>
      <c r="L59" s="2"/>
      <c r="M59" s="2"/>
      <c r="N59" s="2"/>
      <c r="O59" s="2"/>
      <c r="P59" s="2"/>
      <c r="Q59" s="2" t="s">
        <v>966</v>
      </c>
      <c r="S59" s="71" t="s">
        <v>848</v>
      </c>
      <c r="T59" s="71">
        <v>30.5</v>
      </c>
      <c r="U59" s="71" t="s">
        <v>109</v>
      </c>
    </row>
    <row r="60" spans="1:21" x14ac:dyDescent="0.45">
      <c r="A60" s="2">
        <v>53</v>
      </c>
      <c r="B60" s="91" t="s">
        <v>1</v>
      </c>
      <c r="C60" s="77" t="s">
        <v>18</v>
      </c>
      <c r="D60" s="2" t="s">
        <v>100</v>
      </c>
      <c r="E60" s="2" t="s">
        <v>100</v>
      </c>
      <c r="F60" s="2" t="s">
        <v>100</v>
      </c>
      <c r="G60" s="2" t="s">
        <v>100</v>
      </c>
      <c r="H60" s="2" t="str">
        <f>CONCATENATE("R",(ConcreteSidePerimeters)*ConcreteExtrusionSpacing)</f>
        <v>R8</v>
      </c>
      <c r="I60" s="2" t="s">
        <v>100</v>
      </c>
      <c r="J60" s="2" t="s">
        <v>23</v>
      </c>
      <c r="K60" s="2"/>
      <c r="L60" s="2"/>
      <c r="M60" s="2"/>
      <c r="N60" s="2"/>
      <c r="O60" s="2"/>
      <c r="P60" s="2"/>
      <c r="Q60" s="2"/>
      <c r="S60" s="71" t="s">
        <v>849</v>
      </c>
      <c r="T60" s="71">
        <v>4</v>
      </c>
      <c r="U60" s="71" t="s">
        <v>109</v>
      </c>
    </row>
    <row r="61" spans="1:21" x14ac:dyDescent="0.45">
      <c r="A61" s="2">
        <v>54</v>
      </c>
      <c r="B61" s="91" t="s">
        <v>1</v>
      </c>
      <c r="C61" s="77" t="s">
        <v>18</v>
      </c>
      <c r="D61" s="2" t="s">
        <v>100</v>
      </c>
      <c r="E61" s="2" t="s">
        <v>100</v>
      </c>
      <c r="F61" s="2" t="s">
        <v>100</v>
      </c>
      <c r="G61" s="2" t="str">
        <f>CONCATENATE("R",Length+ConcreteExtrusionSpacing)</f>
        <v>R104</v>
      </c>
      <c r="H61" s="2" t="s">
        <v>100</v>
      </c>
      <c r="I61" s="2" t="s">
        <v>100</v>
      </c>
      <c r="J61" s="2" t="s">
        <v>23</v>
      </c>
      <c r="K61" s="2"/>
      <c r="L61" s="2"/>
      <c r="M61" s="2"/>
      <c r="N61" s="2"/>
      <c r="O61" s="2"/>
      <c r="P61" s="2"/>
      <c r="Q61" s="2"/>
      <c r="S61" s="71" t="s">
        <v>109</v>
      </c>
      <c r="T61" s="71" t="s">
        <v>109</v>
      </c>
      <c r="U61" s="71" t="s">
        <v>109</v>
      </c>
    </row>
    <row r="62" spans="1:21" x14ac:dyDescent="0.45">
      <c r="A62" s="2">
        <v>55</v>
      </c>
      <c r="B62" s="91" t="s">
        <v>39</v>
      </c>
      <c r="C62" s="77">
        <v>-0.3</v>
      </c>
      <c r="D62" s="2">
        <v>5000</v>
      </c>
      <c r="E62" s="2">
        <v>0</v>
      </c>
      <c r="F62" s="2">
        <v>0</v>
      </c>
      <c r="G62" s="2"/>
      <c r="H62" s="2"/>
      <c r="I62" s="2"/>
      <c r="J62" s="2"/>
      <c r="K62" s="2"/>
      <c r="L62" s="2"/>
      <c r="M62" s="2"/>
      <c r="N62" s="2"/>
      <c r="O62" s="2"/>
      <c r="P62" s="2"/>
      <c r="Q62" s="2" t="s">
        <v>856</v>
      </c>
    </row>
    <row r="63" spans="1:21" x14ac:dyDescent="0.45">
      <c r="A63" s="2">
        <v>56</v>
      </c>
      <c r="B63" s="91" t="s">
        <v>1</v>
      </c>
      <c r="C63" s="77" t="s">
        <v>18</v>
      </c>
      <c r="D63" s="2" t="s">
        <v>100</v>
      </c>
      <c r="E63" s="2" t="s">
        <v>100</v>
      </c>
      <c r="F63" s="2" t="s">
        <v>100</v>
      </c>
      <c r="G63" s="2" t="s">
        <v>100</v>
      </c>
      <c r="H63" s="2" t="str">
        <f>CONCATENATE("R-",ConcreteExtrusionSpacing)</f>
        <v>R-4</v>
      </c>
      <c r="I63" s="2" t="s">
        <v>100</v>
      </c>
      <c r="J63" s="2" t="s">
        <v>23</v>
      </c>
      <c r="K63" s="2"/>
      <c r="L63" s="2"/>
      <c r="M63" s="2"/>
      <c r="N63" s="2"/>
      <c r="O63" s="2"/>
      <c r="P63" s="2"/>
      <c r="Q63" s="2" t="s">
        <v>855</v>
      </c>
    </row>
    <row r="64" spans="1:21" x14ac:dyDescent="0.45">
      <c r="A64" s="2">
        <v>57</v>
      </c>
      <c r="B64" s="91" t="s">
        <v>1</v>
      </c>
      <c r="C64" s="77" t="s">
        <v>18</v>
      </c>
      <c r="D64" s="2" t="s">
        <v>100</v>
      </c>
      <c r="E64" s="2" t="s">
        <v>100</v>
      </c>
      <c r="F64" s="2" t="s">
        <v>100</v>
      </c>
      <c r="G64" s="2" t="str">
        <f>CONCATENATE("R-",Length)</f>
        <v>R-100</v>
      </c>
      <c r="H64" s="2" t="s">
        <v>100</v>
      </c>
      <c r="I64" s="2" t="s">
        <v>100</v>
      </c>
      <c r="J64" s="2" t="s">
        <v>19</v>
      </c>
      <c r="K64" s="2">
        <f>ConcreteExtrusionWidth</f>
        <v>3.75</v>
      </c>
      <c r="L64" s="2">
        <f>ConcreteExtrusionHeight</f>
        <v>3.42</v>
      </c>
      <c r="M64" s="2"/>
      <c r="N64" s="2"/>
      <c r="O64" s="2"/>
      <c r="P64" s="2"/>
      <c r="Q64" s="2" t="s">
        <v>859</v>
      </c>
    </row>
    <row r="65" spans="1:17" x14ac:dyDescent="0.45">
      <c r="A65" s="2">
        <v>58</v>
      </c>
      <c r="B65" s="91" t="s">
        <v>1</v>
      </c>
      <c r="C65" s="77" t="s">
        <v>18</v>
      </c>
      <c r="D65" s="2" t="s">
        <v>100</v>
      </c>
      <c r="E65" s="2" t="s">
        <v>100</v>
      </c>
      <c r="F65" s="2" t="s">
        <v>100</v>
      </c>
      <c r="G65" s="2" t="s">
        <v>100</v>
      </c>
      <c r="H65" s="2" t="str">
        <f>CONCATENATE("R-",ConcreteExtrusionSpacing)</f>
        <v>R-4</v>
      </c>
      <c r="I65" s="2" t="s">
        <v>100</v>
      </c>
      <c r="J65" s="2" t="s">
        <v>19</v>
      </c>
      <c r="K65" s="2">
        <f>ConcreteExtrusionWidth</f>
        <v>3.75</v>
      </c>
      <c r="L65" s="2">
        <f>ConcreteExtrusionHeight</f>
        <v>3.42</v>
      </c>
      <c r="M65" s="2"/>
      <c r="N65" s="2"/>
      <c r="O65" s="2"/>
      <c r="P65" s="2"/>
      <c r="Q65" s="2"/>
    </row>
    <row r="66" spans="1:17" x14ac:dyDescent="0.45">
      <c r="A66" s="2">
        <v>59</v>
      </c>
      <c r="B66" s="91" t="s">
        <v>1</v>
      </c>
      <c r="C66" s="77" t="s">
        <v>18</v>
      </c>
      <c r="D66" s="2" t="s">
        <v>100</v>
      </c>
      <c r="E66" s="2" t="s">
        <v>100</v>
      </c>
      <c r="F66" s="2" t="s">
        <v>100</v>
      </c>
      <c r="G66" s="2" t="str">
        <f>CONCATENATE("R",Length)</f>
        <v>R100</v>
      </c>
      <c r="H66" s="2" t="s">
        <v>100</v>
      </c>
      <c r="I66" s="2" t="s">
        <v>100</v>
      </c>
      <c r="J66" s="2" t="s">
        <v>19</v>
      </c>
      <c r="K66" s="2">
        <f>ConcreteExtrusionWidth</f>
        <v>3.75</v>
      </c>
      <c r="L66" s="2">
        <f>ConcreteExtrusionHeight</f>
        <v>3.42</v>
      </c>
      <c r="M66" s="2"/>
      <c r="N66" s="2"/>
      <c r="O66" s="2"/>
      <c r="P66" s="2"/>
      <c r="Q66" s="2"/>
    </row>
    <row r="67" spans="1:17" x14ac:dyDescent="0.45">
      <c r="A67" s="2">
        <v>60</v>
      </c>
      <c r="B67" s="91" t="s">
        <v>1</v>
      </c>
      <c r="C67" s="77" t="s">
        <v>18</v>
      </c>
      <c r="D67" s="2" t="s">
        <v>100</v>
      </c>
      <c r="E67" s="2" t="s">
        <v>100</v>
      </c>
      <c r="F67" s="2" t="s">
        <v>100</v>
      </c>
      <c r="G67" s="2" t="s">
        <v>100</v>
      </c>
      <c r="H67" s="2" t="str">
        <f>CONCATENATE("R-",ConcreteExtrusionSpacing)</f>
        <v>R-4</v>
      </c>
      <c r="I67" s="2" t="s">
        <v>100</v>
      </c>
      <c r="J67" s="2" t="s">
        <v>19</v>
      </c>
      <c r="K67" s="2">
        <f>ConcreteExtrusionWidth</f>
        <v>3.75</v>
      </c>
      <c r="L67" s="2">
        <f>ConcreteExtrusionHeight</f>
        <v>3.42</v>
      </c>
      <c r="M67" s="2"/>
      <c r="N67" s="2"/>
      <c r="O67" s="2"/>
      <c r="P67" s="2"/>
      <c r="Q67" s="2"/>
    </row>
    <row r="68" spans="1:17" x14ac:dyDescent="0.45">
      <c r="A68" s="2">
        <v>61</v>
      </c>
      <c r="B68" s="91" t="s">
        <v>55</v>
      </c>
      <c r="C68" s="77" t="s">
        <v>987</v>
      </c>
      <c r="D68" s="2">
        <v>0</v>
      </c>
      <c r="E68" s="2">
        <f>-(2*ConcreteExtrusionSpacing)</f>
        <v>-8</v>
      </c>
      <c r="F68" s="2">
        <v>0</v>
      </c>
      <c r="G68" s="2">
        <f>(BeamPerimeterWidth/2)-1</f>
        <v>3</v>
      </c>
      <c r="H68" s="2"/>
      <c r="I68" s="2"/>
      <c r="J68" s="2"/>
      <c r="K68" s="2"/>
      <c r="L68" s="2"/>
      <c r="M68" s="2"/>
      <c r="N68" s="2"/>
      <c r="O68" s="2"/>
      <c r="P68" s="2"/>
      <c r="Q68" s="2"/>
    </row>
    <row r="69" spans="1:17" x14ac:dyDescent="0.45">
      <c r="A69" s="2">
        <v>62</v>
      </c>
      <c r="B69" s="91" t="s">
        <v>39</v>
      </c>
      <c r="C69" s="77">
        <v>0</v>
      </c>
      <c r="D69" s="2">
        <v>0</v>
      </c>
      <c r="E69" s="2">
        <f>ConcreteLayerHeight</f>
        <v>2.7</v>
      </c>
      <c r="F69" s="2">
        <v>6000</v>
      </c>
      <c r="G69" s="2"/>
      <c r="H69" s="2"/>
      <c r="I69" s="2"/>
      <c r="J69" s="2"/>
      <c r="K69" s="2"/>
      <c r="L69" s="2"/>
      <c r="M69" s="2"/>
      <c r="N69" s="2"/>
      <c r="O69" s="2"/>
      <c r="P69" s="2"/>
      <c r="Q69" s="2"/>
    </row>
    <row r="70" spans="1:17" x14ac:dyDescent="0.45">
      <c r="A70" s="2">
        <v>63</v>
      </c>
      <c r="B70" s="91" t="s">
        <v>1</v>
      </c>
      <c r="C70" s="77" t="s">
        <v>18</v>
      </c>
      <c r="D70" s="2" t="s">
        <v>100</v>
      </c>
      <c r="E70" s="2" t="s">
        <v>100</v>
      </c>
      <c r="F70" s="2" t="s">
        <v>100</v>
      </c>
      <c r="G70" s="2" t="s">
        <v>100</v>
      </c>
      <c r="H70" s="2" t="str">
        <f>CONCATENATE("R",ConcreteExtrusionSpacing)</f>
        <v>R4</v>
      </c>
      <c r="I70" s="2" t="s">
        <v>100</v>
      </c>
      <c r="J70" s="2" t="s">
        <v>19</v>
      </c>
      <c r="K70" s="2">
        <f>ConcreteExtrusionWidth</f>
        <v>3.75</v>
      </c>
      <c r="L70" s="2">
        <f>ConcreteExtrusionHeight</f>
        <v>3.42</v>
      </c>
      <c r="M70" s="2"/>
      <c r="N70" s="2"/>
      <c r="O70" s="2"/>
      <c r="P70" s="2"/>
      <c r="Q70" s="2" t="s">
        <v>975</v>
      </c>
    </row>
    <row r="71" spans="1:17" x14ac:dyDescent="0.45">
      <c r="A71" s="2">
        <v>64</v>
      </c>
      <c r="B71" s="91" t="s">
        <v>1</v>
      </c>
      <c r="C71" s="77" t="s">
        <v>18</v>
      </c>
      <c r="D71" s="2" t="s">
        <v>100</v>
      </c>
      <c r="E71" s="2" t="s">
        <v>100</v>
      </c>
      <c r="F71" s="2" t="s">
        <v>100</v>
      </c>
      <c r="G71" s="2" t="str">
        <f>CONCATENATE("R-",Length)</f>
        <v>R-100</v>
      </c>
      <c r="H71" s="2" t="s">
        <v>100</v>
      </c>
      <c r="I71" s="2" t="s">
        <v>100</v>
      </c>
      <c r="J71" s="2" t="s">
        <v>19</v>
      </c>
      <c r="K71" s="2">
        <f>ConcreteExtrusionWidth</f>
        <v>3.75</v>
      </c>
      <c r="L71" s="2">
        <f>ConcreteExtrusionHeight</f>
        <v>3.42</v>
      </c>
      <c r="M71" s="2"/>
      <c r="N71" s="2"/>
      <c r="O71" s="2"/>
      <c r="P71" s="2"/>
      <c r="Q71" s="2"/>
    </row>
    <row r="72" spans="1:17" x14ac:dyDescent="0.45">
      <c r="A72" s="2">
        <v>65</v>
      </c>
      <c r="B72" s="91" t="s">
        <v>1</v>
      </c>
      <c r="C72" s="77" t="s">
        <v>18</v>
      </c>
      <c r="D72" s="2" t="s">
        <v>100</v>
      </c>
      <c r="E72" s="2" t="s">
        <v>100</v>
      </c>
      <c r="F72" s="2" t="s">
        <v>100</v>
      </c>
      <c r="G72" s="2" t="s">
        <v>100</v>
      </c>
      <c r="H72" s="2" t="str">
        <f>CONCATENATE("R",ConcreteExtrusionSpacing)</f>
        <v>R4</v>
      </c>
      <c r="I72" s="2" t="s">
        <v>100</v>
      </c>
      <c r="J72" s="2" t="s">
        <v>19</v>
      </c>
      <c r="K72" s="2">
        <f>ConcreteExtrusionWidth</f>
        <v>3.75</v>
      </c>
      <c r="L72" s="2">
        <f>ConcreteExtrusionHeight</f>
        <v>3.42</v>
      </c>
      <c r="M72" s="2"/>
      <c r="N72" s="2"/>
      <c r="O72" s="2"/>
      <c r="P72" s="2"/>
      <c r="Q72" s="2"/>
    </row>
    <row r="73" spans="1:17" x14ac:dyDescent="0.45">
      <c r="A73" s="2">
        <v>66</v>
      </c>
      <c r="B73" s="91" t="s">
        <v>1</v>
      </c>
      <c r="C73" s="77" t="s">
        <v>18</v>
      </c>
      <c r="D73" s="2" t="s">
        <v>100</v>
      </c>
      <c r="E73" s="2" t="s">
        <v>100</v>
      </c>
      <c r="F73" s="2" t="s">
        <v>100</v>
      </c>
      <c r="G73" s="2" t="str">
        <f>CONCATENATE("R",Length)</f>
        <v>R100</v>
      </c>
      <c r="H73" s="2" t="s">
        <v>100</v>
      </c>
      <c r="I73" s="2" t="s">
        <v>100</v>
      </c>
      <c r="J73" s="2" t="s">
        <v>19</v>
      </c>
      <c r="K73" s="2">
        <f>ConcreteExtrusionWidth</f>
        <v>3.75</v>
      </c>
      <c r="L73" s="2">
        <f>ConcreteExtrusionHeight</f>
        <v>3.42</v>
      </c>
      <c r="M73" s="2"/>
      <c r="N73" s="2"/>
      <c r="O73" s="2"/>
      <c r="P73" s="2"/>
      <c r="Q73" s="2"/>
    </row>
    <row r="74" spans="1:17" x14ac:dyDescent="0.45">
      <c r="A74" s="2">
        <v>67</v>
      </c>
      <c r="B74" s="91" t="s">
        <v>55</v>
      </c>
      <c r="C74" s="77" t="s">
        <v>988</v>
      </c>
      <c r="D74" s="2">
        <v>0</v>
      </c>
      <c r="E74" s="2">
        <f>(2*ConcreteExtrusionSpacing)</f>
        <v>8</v>
      </c>
      <c r="F74" s="2">
        <v>0</v>
      </c>
      <c r="G74" s="2">
        <f>(BeamPerimeterWidth/2)-1</f>
        <v>3</v>
      </c>
      <c r="H74" s="2"/>
      <c r="I74" s="2"/>
      <c r="J74" s="2"/>
      <c r="K74" s="2"/>
      <c r="L74" s="2"/>
      <c r="M74" s="2"/>
      <c r="N74" s="2"/>
      <c r="O74" s="2"/>
      <c r="P74" s="2"/>
      <c r="Q74" s="2"/>
    </row>
    <row r="75" spans="1:17" x14ac:dyDescent="0.45">
      <c r="A75" s="2">
        <v>68</v>
      </c>
      <c r="B75" s="91" t="s">
        <v>39</v>
      </c>
      <c r="C75" s="77">
        <v>0</v>
      </c>
      <c r="D75" s="2">
        <v>0</v>
      </c>
      <c r="E75" s="2">
        <f>ConcreteLayerHeight</f>
        <v>2.7</v>
      </c>
      <c r="F75" s="2">
        <v>6000</v>
      </c>
      <c r="G75" s="2"/>
      <c r="H75" s="2"/>
      <c r="I75" s="2"/>
      <c r="J75" s="2"/>
      <c r="K75" s="2"/>
      <c r="L75" s="2"/>
      <c r="M75" s="2"/>
      <c r="N75" s="2"/>
      <c r="O75" s="2"/>
      <c r="P75" s="2"/>
      <c r="Q75" s="2" t="s">
        <v>844</v>
      </c>
    </row>
    <row r="76" spans="1:17" x14ac:dyDescent="0.45">
      <c r="A76" s="2">
        <v>69</v>
      </c>
      <c r="B76" s="91" t="s">
        <v>55</v>
      </c>
      <c r="C76" s="77" t="s">
        <v>989</v>
      </c>
      <c r="D76" s="2">
        <v>0</v>
      </c>
      <c r="E76" s="2">
        <v>0</v>
      </c>
      <c r="F76" s="2">
        <f>2*ConcreteLayerHeight</f>
        <v>5.4</v>
      </c>
      <c r="G76" s="2">
        <f>(ConcreteBaseLayers/2)-1</f>
        <v>0</v>
      </c>
      <c r="H76" s="2"/>
      <c r="I76" s="2"/>
      <c r="J76" s="2"/>
      <c r="K76" s="2"/>
      <c r="L76" s="2"/>
      <c r="M76" s="2"/>
      <c r="N76" s="2"/>
      <c r="O76" s="2"/>
      <c r="P76" s="2"/>
      <c r="Q76" s="2"/>
    </row>
    <row r="77" spans="1:17" x14ac:dyDescent="0.45">
      <c r="A77" s="2">
        <v>70</v>
      </c>
      <c r="B77" s="91" t="s">
        <v>1</v>
      </c>
      <c r="C77" s="2" t="s">
        <v>18</v>
      </c>
      <c r="D77" s="2" t="s">
        <v>100</v>
      </c>
      <c r="E77" s="2" t="s">
        <v>100</v>
      </c>
      <c r="F77" s="2" t="s">
        <v>100</v>
      </c>
      <c r="G77" s="2" t="str">
        <f>CONCATENATE("R", 2*ConcreteExtrusionSpacing)</f>
        <v>R8</v>
      </c>
      <c r="H77" s="2" t="s">
        <v>100</v>
      </c>
      <c r="I77" s="2" t="str">
        <f>CONCATENATE("R", 2*ConcreteLayerHeight)</f>
        <v>R5.4</v>
      </c>
      <c r="J77" s="2" t="s">
        <v>23</v>
      </c>
      <c r="K77" s="2">
        <f>ConcreteExtrusionWidth</f>
        <v>3.75</v>
      </c>
      <c r="L77" s="2">
        <f>ConcreteExtrusionHeight</f>
        <v>3.42</v>
      </c>
      <c r="M77" s="2"/>
      <c r="N77" s="2"/>
      <c r="O77" s="2"/>
      <c r="P77" s="2"/>
      <c r="Q77" s="2" t="s">
        <v>795</v>
      </c>
    </row>
    <row r="78" spans="1:17" x14ac:dyDescent="0.45">
      <c r="A78" s="2">
        <v>71</v>
      </c>
      <c r="B78" s="91" t="s">
        <v>1</v>
      </c>
      <c r="C78" s="2" t="s">
        <v>18</v>
      </c>
      <c r="D78" s="2" t="s">
        <v>100</v>
      </c>
      <c r="E78" s="2" t="s">
        <v>100</v>
      </c>
      <c r="F78" s="2" t="s">
        <v>100</v>
      </c>
      <c r="G78" s="2" t="s">
        <v>100</v>
      </c>
      <c r="H78" s="2" t="str">
        <f>CONCATENATE("R", 2*ConcreteExtrusionSpacing+Width)</f>
        <v>R40</v>
      </c>
      <c r="I78" s="2" t="s">
        <v>100</v>
      </c>
      <c r="J78" s="2" t="s">
        <v>23</v>
      </c>
      <c r="K78" s="2">
        <f>ConcreteExtrusionWidth</f>
        <v>3.75</v>
      </c>
      <c r="L78" s="2">
        <f>ConcreteExtrusionHeight</f>
        <v>3.42</v>
      </c>
      <c r="M78" s="2"/>
      <c r="N78" s="2"/>
      <c r="O78" s="2"/>
      <c r="P78" s="2"/>
      <c r="Q7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4.25" x14ac:dyDescent="0.45"/>
  <cols>
    <col min="2" max="2" width="21.1328125" customWidth="1"/>
    <col min="3" max="3" width="12.3984375" customWidth="1"/>
    <col min="19" max="19" width="31.73046875" bestFit="1" customWidth="1"/>
  </cols>
  <sheetData>
    <row r="3" spans="1:46" x14ac:dyDescent="0.45">
      <c r="A3" s="33" t="s">
        <v>129</v>
      </c>
      <c r="B3" s="2" t="s">
        <v>648</v>
      </c>
      <c r="C3" s="33" t="s">
        <v>128</v>
      </c>
      <c r="D3" s="2" t="s">
        <v>617</v>
      </c>
      <c r="U3" s="69"/>
      <c r="AO3" t="s">
        <v>130</v>
      </c>
      <c r="AP3" t="s">
        <v>631</v>
      </c>
      <c r="AQ3" t="s">
        <v>129</v>
      </c>
      <c r="AR3" t="s">
        <v>615</v>
      </c>
      <c r="AS3" t="s">
        <v>128</v>
      </c>
      <c r="AT3" t="s">
        <v>617</v>
      </c>
    </row>
    <row r="4" spans="1:46" x14ac:dyDescent="0.45">
      <c r="A4" s="32" t="s">
        <v>0</v>
      </c>
      <c r="B4" s="2"/>
      <c r="C4" s="2"/>
      <c r="D4" s="2"/>
      <c r="E4" s="2"/>
      <c r="F4" s="2"/>
      <c r="G4" s="2"/>
      <c r="H4" s="2"/>
      <c r="I4" s="2"/>
      <c r="J4" s="2"/>
      <c r="K4" s="2"/>
      <c r="L4" s="2"/>
      <c r="M4" s="2"/>
      <c r="N4" s="2"/>
      <c r="O4" s="2"/>
      <c r="P4" s="2"/>
      <c r="Q4" s="33" t="s">
        <v>289</v>
      </c>
      <c r="U4" s="69"/>
    </row>
    <row r="5" spans="1:46" x14ac:dyDescent="0.45">
      <c r="A5" s="2">
        <v>1</v>
      </c>
      <c r="B5" s="2" t="s">
        <v>614</v>
      </c>
      <c r="C5" s="2"/>
      <c r="D5" s="2"/>
      <c r="E5" s="2"/>
      <c r="F5" s="2"/>
      <c r="G5" s="2"/>
      <c r="H5" s="2"/>
      <c r="I5" s="2"/>
      <c r="J5" s="2"/>
      <c r="K5" s="2"/>
      <c r="L5" s="2"/>
      <c r="M5" s="2"/>
      <c r="N5" s="2"/>
      <c r="O5" s="2"/>
      <c r="P5" s="2"/>
      <c r="Q5" s="2"/>
      <c r="S5" s="74" t="s">
        <v>40</v>
      </c>
      <c r="T5" s="3"/>
      <c r="U5" s="5"/>
    </row>
    <row r="6" spans="1:46" x14ac:dyDescent="0.45">
      <c r="A6" s="2">
        <v>2</v>
      </c>
      <c r="B6" s="2"/>
      <c r="C6" s="2"/>
      <c r="D6" s="2"/>
      <c r="E6" s="2"/>
      <c r="F6" s="2"/>
      <c r="G6" s="2"/>
      <c r="H6" s="2"/>
      <c r="I6" s="2"/>
      <c r="J6" s="2"/>
      <c r="K6" s="2"/>
      <c r="L6" s="2"/>
      <c r="M6" s="2"/>
      <c r="N6" s="2"/>
      <c r="O6" s="2"/>
      <c r="P6" s="2"/>
      <c r="Q6" s="2"/>
      <c r="S6" s="5" t="s">
        <v>98</v>
      </c>
      <c r="T6" s="5">
        <v>0.55000000000000004</v>
      </c>
      <c r="U6" s="5" t="s">
        <v>44</v>
      </c>
    </row>
    <row r="7" spans="1:46" x14ac:dyDescent="0.45">
      <c r="A7" s="2">
        <v>3</v>
      </c>
      <c r="B7" s="2" t="s">
        <v>616</v>
      </c>
      <c r="C7" s="2"/>
      <c r="D7" s="2"/>
      <c r="E7" s="2"/>
      <c r="F7" s="2"/>
      <c r="G7" s="2"/>
      <c r="H7" s="2"/>
      <c r="I7" s="2"/>
      <c r="J7" s="2"/>
      <c r="K7" s="2"/>
      <c r="L7" s="2"/>
      <c r="M7" s="2"/>
      <c r="N7" s="2"/>
      <c r="O7" s="2"/>
      <c r="P7" s="2"/>
      <c r="Q7" s="2"/>
      <c r="S7" s="5" t="s">
        <v>87</v>
      </c>
      <c r="T7" s="5">
        <v>0.83</v>
      </c>
      <c r="U7" s="5" t="s">
        <v>89</v>
      </c>
    </row>
    <row r="8" spans="1:46" x14ac:dyDescent="0.45">
      <c r="A8" s="2">
        <v>4</v>
      </c>
      <c r="B8" s="2"/>
      <c r="C8" s="2"/>
      <c r="D8" s="2"/>
      <c r="E8" s="2"/>
      <c r="F8" s="2"/>
      <c r="G8" s="2"/>
      <c r="H8" s="2"/>
      <c r="I8" s="2"/>
      <c r="J8" s="2"/>
      <c r="K8" s="2"/>
      <c r="L8" s="2"/>
      <c r="M8" s="2"/>
      <c r="N8" s="2"/>
      <c r="O8" s="2"/>
      <c r="P8" s="2"/>
      <c r="Q8" s="2"/>
      <c r="S8" s="5" t="s">
        <v>88</v>
      </c>
      <c r="T8" s="5">
        <v>0.5</v>
      </c>
      <c r="U8" s="5" t="s">
        <v>89</v>
      </c>
    </row>
    <row r="9" spans="1:46" x14ac:dyDescent="0.4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45">
      <c r="A10" s="2">
        <v>6</v>
      </c>
      <c r="B10" s="2"/>
      <c r="C10" s="2"/>
      <c r="D10" s="2"/>
      <c r="E10" s="2"/>
      <c r="F10" s="2"/>
      <c r="G10" s="2"/>
      <c r="H10" s="2"/>
      <c r="I10" s="2"/>
      <c r="J10" s="2"/>
      <c r="K10" s="2"/>
      <c r="L10" s="2"/>
      <c r="M10" s="2"/>
      <c r="N10" s="2"/>
      <c r="O10" s="2"/>
      <c r="P10" s="2"/>
      <c r="Q10" s="2"/>
      <c r="S10" s="5" t="s">
        <v>194</v>
      </c>
      <c r="T10" s="5">
        <v>0</v>
      </c>
      <c r="U10" s="5"/>
    </row>
    <row r="11" spans="1:46" x14ac:dyDescent="0.45">
      <c r="A11" s="2">
        <v>7</v>
      </c>
      <c r="B11" s="2"/>
      <c r="C11" s="2"/>
      <c r="D11" s="2"/>
      <c r="E11" s="2"/>
      <c r="F11" s="2"/>
      <c r="G11" s="2"/>
      <c r="H11" s="2"/>
      <c r="I11" s="2"/>
      <c r="J11" s="2"/>
      <c r="K11" s="2"/>
      <c r="L11" s="2"/>
      <c r="M11" s="2"/>
      <c r="N11" s="2"/>
      <c r="O11" s="2"/>
      <c r="P11" s="2"/>
      <c r="Q11" s="2"/>
      <c r="S11" s="46"/>
      <c r="T11" s="46"/>
      <c r="U11" s="70"/>
    </row>
    <row r="12" spans="1:46" x14ac:dyDescent="0.4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45">
      <c r="A13" s="2">
        <v>9</v>
      </c>
      <c r="B13" s="2"/>
      <c r="C13" s="2"/>
      <c r="D13" s="2"/>
      <c r="E13" s="2"/>
      <c r="F13" s="2"/>
      <c r="G13" s="2"/>
      <c r="H13" s="2"/>
      <c r="I13" s="2"/>
      <c r="J13" s="2"/>
      <c r="K13" s="2"/>
      <c r="L13" s="2"/>
      <c r="M13" s="2"/>
      <c r="N13" s="2"/>
      <c r="O13" s="2"/>
      <c r="P13" s="2"/>
      <c r="Q13" s="2"/>
      <c r="S13" s="5" t="s">
        <v>85</v>
      </c>
      <c r="T13" s="5">
        <v>1500</v>
      </c>
      <c r="U13" s="5" t="s">
        <v>45</v>
      </c>
    </row>
    <row r="14" spans="1:46" x14ac:dyDescent="0.45">
      <c r="A14" s="2">
        <v>10</v>
      </c>
      <c r="B14" s="2"/>
      <c r="C14" s="2"/>
      <c r="D14" s="2"/>
      <c r="E14" s="2"/>
      <c r="F14" s="2"/>
      <c r="G14" s="2"/>
      <c r="H14" s="2"/>
      <c r="I14" s="2"/>
      <c r="J14" s="2"/>
      <c r="K14" s="2"/>
      <c r="L14" s="2"/>
      <c r="M14" s="2"/>
      <c r="N14" s="2"/>
      <c r="O14" s="2"/>
      <c r="P14" s="2"/>
      <c r="Q14" s="2"/>
      <c r="S14" s="5" t="s">
        <v>86</v>
      </c>
      <c r="T14" s="5">
        <v>48000</v>
      </c>
      <c r="U14" s="5" t="s">
        <v>45</v>
      </c>
    </row>
    <row r="15" spans="1:46" x14ac:dyDescent="0.4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4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4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4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4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45">
      <c r="S20" s="5" t="s">
        <v>167</v>
      </c>
      <c r="T20" s="5">
        <v>20</v>
      </c>
      <c r="U20" s="5" t="s">
        <v>44</v>
      </c>
    </row>
    <row r="21" spans="1:34" x14ac:dyDescent="0.45">
      <c r="S21" s="5" t="s">
        <v>168</v>
      </c>
      <c r="T21" s="5">
        <v>10</v>
      </c>
      <c r="U21" s="5" t="s">
        <v>44</v>
      </c>
    </row>
    <row r="22" spans="1:34" x14ac:dyDescent="0.45">
      <c r="S22" s="5" t="s">
        <v>169</v>
      </c>
      <c r="T22" s="5">
        <v>0.3</v>
      </c>
      <c r="U22" s="5" t="s">
        <v>44</v>
      </c>
    </row>
    <row r="23" spans="1:34" x14ac:dyDescent="0.45">
      <c r="S23" s="62" t="s">
        <v>339</v>
      </c>
      <c r="T23" s="5">
        <v>185</v>
      </c>
      <c r="U23" s="5"/>
      <c r="V23" s="1"/>
    </row>
    <row r="24" spans="1:34" x14ac:dyDescent="0.45">
      <c r="S24" s="5" t="s">
        <v>154</v>
      </c>
      <c r="T24" s="5" t="s">
        <v>166</v>
      </c>
      <c r="U24" s="5" t="s">
        <v>158</v>
      </c>
    </row>
    <row r="25" spans="1:34" x14ac:dyDescent="0.45">
      <c r="S25" s="5" t="s">
        <v>159</v>
      </c>
      <c r="T25" s="5">
        <v>2</v>
      </c>
      <c r="U25" s="5" t="s">
        <v>44</v>
      </c>
      <c r="V25" s="1"/>
    </row>
    <row r="26" spans="1:34" x14ac:dyDescent="0.45">
      <c r="S26" s="5" t="s">
        <v>160</v>
      </c>
      <c r="T26" s="5">
        <v>1.25</v>
      </c>
      <c r="U26" s="5" t="s">
        <v>90</v>
      </c>
    </row>
    <row r="27" spans="1:34" x14ac:dyDescent="0.45">
      <c r="S27" s="5" t="s">
        <v>161</v>
      </c>
      <c r="T27" s="5">
        <v>2500</v>
      </c>
      <c r="U27" s="5" t="s">
        <v>45</v>
      </c>
    </row>
    <row r="28" spans="1:34" x14ac:dyDescent="0.45">
      <c r="S28" s="5" t="s">
        <v>162</v>
      </c>
      <c r="T28" s="5">
        <v>0</v>
      </c>
      <c r="U28" s="5" t="s">
        <v>90</v>
      </c>
    </row>
    <row r="29" spans="1:34" x14ac:dyDescent="0.45">
      <c r="S29" s="3" t="s">
        <v>163</v>
      </c>
      <c r="T29" s="3">
        <f>T27</f>
        <v>2500</v>
      </c>
      <c r="U29" s="5" t="s">
        <v>45</v>
      </c>
    </row>
    <row r="30" spans="1:34" x14ac:dyDescent="0.45">
      <c r="S30" s="3" t="s">
        <v>164</v>
      </c>
      <c r="T30" s="3">
        <v>0.65</v>
      </c>
      <c r="U30" s="5" t="s">
        <v>44</v>
      </c>
    </row>
    <row r="31" spans="1:34" x14ac:dyDescent="0.45">
      <c r="S31" s="3" t="s">
        <v>165</v>
      </c>
      <c r="T31" s="3">
        <v>10000</v>
      </c>
      <c r="U31" s="5" t="s">
        <v>45</v>
      </c>
    </row>
    <row r="32" spans="1:34" x14ac:dyDescent="0.45">
      <c r="U32" s="69"/>
    </row>
    <row r="33" spans="1:46" x14ac:dyDescent="0.45">
      <c r="S33" s="75" t="s">
        <v>292</v>
      </c>
      <c r="T33" s="75" t="s">
        <v>293</v>
      </c>
      <c r="U33" s="76" t="s">
        <v>331</v>
      </c>
    </row>
    <row r="34" spans="1:46" x14ac:dyDescent="0.45">
      <c r="S34" s="59"/>
      <c r="T34" s="59"/>
      <c r="U34" s="71" t="s">
        <v>109</v>
      </c>
    </row>
    <row r="35" spans="1:46" x14ac:dyDescent="0.45">
      <c r="S35" s="59"/>
      <c r="T35" s="59"/>
      <c r="U35" s="71" t="s">
        <v>109</v>
      </c>
    </row>
    <row r="37" spans="1:46" x14ac:dyDescent="0.45">
      <c r="A37" s="33" t="s">
        <v>129</v>
      </c>
      <c r="B37" s="2" t="s">
        <v>679</v>
      </c>
      <c r="C37" s="33" t="s">
        <v>128</v>
      </c>
      <c r="D37" s="2" t="s">
        <v>617</v>
      </c>
      <c r="U37" s="69"/>
      <c r="AO37" t="s">
        <v>130</v>
      </c>
      <c r="AP37" t="s">
        <v>680</v>
      </c>
      <c r="AQ37" t="s">
        <v>129</v>
      </c>
      <c r="AR37" t="s">
        <v>679</v>
      </c>
      <c r="AS37" t="s">
        <v>128</v>
      </c>
      <c r="AT37" t="s">
        <v>617</v>
      </c>
    </row>
    <row r="38" spans="1:46" x14ac:dyDescent="0.45">
      <c r="A38" s="32" t="s">
        <v>0</v>
      </c>
      <c r="B38" s="2"/>
      <c r="C38" s="2"/>
      <c r="D38" s="2"/>
      <c r="E38" s="2"/>
      <c r="F38" s="2"/>
      <c r="G38" s="2"/>
      <c r="H38" s="2"/>
      <c r="I38" s="2"/>
      <c r="J38" s="2"/>
      <c r="K38" s="2"/>
      <c r="L38" s="2"/>
      <c r="M38" s="2"/>
      <c r="N38" s="2"/>
      <c r="O38" s="2"/>
      <c r="P38" s="2"/>
      <c r="Q38" s="33" t="s">
        <v>289</v>
      </c>
      <c r="U38" s="69"/>
    </row>
    <row r="39" spans="1:46" x14ac:dyDescent="0.4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4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4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4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45">
      <c r="A43" s="2">
        <v>5</v>
      </c>
      <c r="B43" s="2" t="s">
        <v>1</v>
      </c>
      <c r="C43" s="2" t="s">
        <v>18</v>
      </c>
      <c r="D43" s="2" t="s">
        <v>100</v>
      </c>
      <c r="E43" s="2" t="s">
        <v>100</v>
      </c>
      <c r="F43" s="2" t="s">
        <v>100</v>
      </c>
      <c r="G43" s="2" t="s">
        <v>100</v>
      </c>
      <c r="H43" s="2" t="str" cm="1">
        <f t="array" ref="H43">CONCATENATE("R", Length)</f>
        <v>R100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4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45">
      <c r="A45" s="2">
        <v>7</v>
      </c>
      <c r="B45" s="2" t="s">
        <v>1</v>
      </c>
      <c r="C45" s="2" t="s">
        <v>18</v>
      </c>
      <c r="D45" s="2" t="s">
        <v>100</v>
      </c>
      <c r="E45" s="2" t="s">
        <v>100</v>
      </c>
      <c r="F45" s="2" t="s">
        <v>100</v>
      </c>
      <c r="G45" s="2" t="s">
        <v>100</v>
      </c>
      <c r="H45" s="2" t="str">
        <f>CONCATENATE("R-", Length)</f>
        <v>R-100</v>
      </c>
      <c r="I45" s="2" t="s">
        <v>100</v>
      </c>
      <c r="J45" s="2" t="s">
        <v>19</v>
      </c>
      <c r="K45" s="2" t="e">
        <f>ExtrusionWidth</f>
        <v>#NAME?</v>
      </c>
      <c r="L45" s="2" t="e">
        <f>ExtrusionHeight</f>
        <v>#NAME?</v>
      </c>
      <c r="M45" s="2"/>
      <c r="N45" s="2"/>
      <c r="O45" s="2"/>
      <c r="P45" s="2"/>
      <c r="Q45" s="2"/>
      <c r="S45" s="46"/>
      <c r="T45" s="46"/>
      <c r="U45" s="70"/>
    </row>
    <row r="46" spans="1:46" x14ac:dyDescent="0.4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4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4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4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4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45">
      <c r="A51" s="2">
        <v>13</v>
      </c>
      <c r="B51" s="91" t="s">
        <v>1</v>
      </c>
      <c r="C51" s="2" t="s">
        <v>18</v>
      </c>
      <c r="D51" s="2" t="e">
        <f>StartX+ExtrusionSpacing_L1</f>
        <v>#NAME?</v>
      </c>
      <c r="E51" s="2" t="e">
        <f>StartY+Length+ExtrusionSpacing_L1</f>
        <v>#NAME?</v>
      </c>
      <c r="F51" s="2">
        <v>1E-4</v>
      </c>
      <c r="G51" s="2" t="s">
        <v>100</v>
      </c>
      <c r="H51" s="2" t="str">
        <f>CONCATENATE("R-", Length)</f>
        <v>R-100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4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45">
      <c r="A53" s="2">
        <v>15</v>
      </c>
      <c r="B53" s="91" t="s">
        <v>1</v>
      </c>
      <c r="C53" s="2" t="s">
        <v>18</v>
      </c>
      <c r="D53" s="2" t="s">
        <v>100</v>
      </c>
      <c r="E53" s="2" t="s">
        <v>100</v>
      </c>
      <c r="F53" s="2" t="s">
        <v>100</v>
      </c>
      <c r="G53" s="2" t="s">
        <v>100</v>
      </c>
      <c r="H53" s="2" t="str" cm="1">
        <f t="array" ref="H53">CONCATENATE("R", Length)</f>
        <v>R100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4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4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4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4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45">
      <c r="A58" s="2">
        <v>20</v>
      </c>
      <c r="B58" s="91" t="s">
        <v>1</v>
      </c>
      <c r="C58" s="2" t="s">
        <v>18</v>
      </c>
      <c r="D58" s="2" t="e">
        <f>StartX+ExtrusionSpacing_L1</f>
        <v>#NAME?</v>
      </c>
      <c r="E58" s="2" t="e">
        <f>StartY+Length+ExtrusionSpacing_L1</f>
        <v>#NAME?</v>
      </c>
      <c r="F58" s="2" t="s">
        <v>100</v>
      </c>
      <c r="G58" s="2" t="s">
        <v>100</v>
      </c>
      <c r="H58" s="2" t="str">
        <f>CONCATENATE("R-", Length)</f>
        <v>R-100</v>
      </c>
      <c r="I58" s="2" t="s">
        <v>100</v>
      </c>
      <c r="J58" s="2" t="s">
        <v>19</v>
      </c>
      <c r="K58" s="2" t="e">
        <f>ExtrusionWidth</f>
        <v>#NAME?</v>
      </c>
      <c r="L58" s="2" t="e">
        <f>ExtrusionHeight</f>
        <v>#NAME?</v>
      </c>
      <c r="M58" s="2"/>
      <c r="N58" s="2"/>
      <c r="O58" s="2"/>
      <c r="P58" s="2"/>
      <c r="Q58" s="2"/>
      <c r="S58" s="5" t="s">
        <v>154</v>
      </c>
      <c r="T58" s="5" t="s">
        <v>166</v>
      </c>
      <c r="U58" s="5" t="s">
        <v>158</v>
      </c>
    </row>
    <row r="59" spans="1:34" x14ac:dyDescent="0.4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45">
      <c r="A60" s="2">
        <v>22</v>
      </c>
      <c r="B60" s="91" t="s">
        <v>1</v>
      </c>
      <c r="C60" s="2" t="s">
        <v>18</v>
      </c>
      <c r="D60" s="2" t="s">
        <v>100</v>
      </c>
      <c r="E60" s="2" t="s">
        <v>100</v>
      </c>
      <c r="F60" s="2" t="s">
        <v>100</v>
      </c>
      <c r="G60" s="2" t="s">
        <v>100</v>
      </c>
      <c r="H60" s="2" t="str" cm="1">
        <f t="array" ref="H60">CONCATENATE("R", Length)</f>
        <v>R100</v>
      </c>
      <c r="I60" s="2" t="s">
        <v>100</v>
      </c>
      <c r="J60" s="2" t="s">
        <v>19</v>
      </c>
      <c r="K60" s="2" t="e">
        <f>ExtrusionWidth</f>
        <v>#NAME?</v>
      </c>
      <c r="L60" s="2" t="e">
        <f>ExtrusionHeight</f>
        <v>#NAME?</v>
      </c>
      <c r="M60" s="2"/>
      <c r="N60" s="2"/>
      <c r="O60" s="2"/>
      <c r="P60" s="2"/>
      <c r="Q60" s="2"/>
      <c r="S60" s="5" t="s">
        <v>160</v>
      </c>
      <c r="T60" s="5">
        <v>1.25</v>
      </c>
      <c r="U60" s="5" t="s">
        <v>90</v>
      </c>
    </row>
    <row r="61" spans="1:34" x14ac:dyDescent="0.4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4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4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4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4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4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4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45">
      <c r="A68" s="2">
        <v>30</v>
      </c>
      <c r="B68" s="2" t="s">
        <v>1</v>
      </c>
      <c r="C68" s="2" t="s">
        <v>18</v>
      </c>
      <c r="D68" s="2" t="s">
        <v>100</v>
      </c>
      <c r="E68" s="2" t="s">
        <v>100</v>
      </c>
      <c r="F68" s="2" t="s">
        <v>100</v>
      </c>
      <c r="G68" s="2" t="s">
        <v>100</v>
      </c>
      <c r="H68" s="2" t="str" cm="1">
        <f t="array" ref="H68">CONCATENATE("R", Length)</f>
        <v>R100</v>
      </c>
      <c r="I68" s="2" t="s">
        <v>100</v>
      </c>
      <c r="J68" s="2" t="s">
        <v>19</v>
      </c>
      <c r="K68" s="2" t="e">
        <f>ExtrusionWidth</f>
        <v>#NAME?</v>
      </c>
      <c r="L68" s="2" t="e">
        <f>ExtrusionHeight</f>
        <v>#NAME?</v>
      </c>
      <c r="M68" s="2"/>
      <c r="N68" s="2"/>
      <c r="O68" s="2"/>
      <c r="P68" s="2"/>
      <c r="Q68" s="2"/>
      <c r="S68" s="59" t="s">
        <v>662</v>
      </c>
      <c r="T68" s="59">
        <v>1.35</v>
      </c>
      <c r="U68" s="71" t="s">
        <v>109</v>
      </c>
    </row>
    <row r="69" spans="1:46" x14ac:dyDescent="0.4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45">
      <c r="A70" s="2">
        <v>32</v>
      </c>
      <c r="B70" s="2" t="s">
        <v>1</v>
      </c>
      <c r="C70" s="2" t="s">
        <v>18</v>
      </c>
      <c r="D70" s="2" t="s">
        <v>100</v>
      </c>
      <c r="E70" s="2" t="s">
        <v>100</v>
      </c>
      <c r="F70" s="2" t="s">
        <v>100</v>
      </c>
      <c r="G70" s="2" t="s">
        <v>100</v>
      </c>
      <c r="H70" s="2" t="str">
        <f>CONCATENATE("R-", Length)</f>
        <v>R-100</v>
      </c>
      <c r="I70" s="2" t="s">
        <v>100</v>
      </c>
      <c r="J70" s="2" t="s">
        <v>19</v>
      </c>
      <c r="K70" s="2" t="e">
        <f>ExtrusionWidth</f>
        <v>#NAME?</v>
      </c>
      <c r="L70" s="2" t="e">
        <f>ExtrusionHeight</f>
        <v>#NAME?</v>
      </c>
      <c r="M70" s="2"/>
      <c r="N70" s="2"/>
      <c r="O70" s="2"/>
      <c r="P70" s="2"/>
      <c r="Q70" s="2"/>
      <c r="S70" s="59" t="s">
        <v>672</v>
      </c>
      <c r="T70" s="59">
        <v>1.2</v>
      </c>
      <c r="U70" s="71" t="s">
        <v>109</v>
      </c>
    </row>
    <row r="71" spans="1:46" x14ac:dyDescent="0.4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4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4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4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4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4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4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4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45">
      <c r="A80" s="33" t="s">
        <v>129</v>
      </c>
      <c r="B80" s="2" t="s">
        <v>681</v>
      </c>
      <c r="C80" s="33" t="s">
        <v>128</v>
      </c>
      <c r="D80" s="2" t="s">
        <v>617</v>
      </c>
      <c r="U80" s="69"/>
      <c r="AO80" t="s">
        <v>130</v>
      </c>
      <c r="AP80" t="s">
        <v>682</v>
      </c>
      <c r="AQ80" t="s">
        <v>129</v>
      </c>
      <c r="AR80" t="s">
        <v>681</v>
      </c>
      <c r="AS80" t="s">
        <v>128</v>
      </c>
      <c r="AT80" t="s">
        <v>617</v>
      </c>
    </row>
    <row r="81" spans="1:34" x14ac:dyDescent="0.45">
      <c r="A81" s="32" t="s">
        <v>0</v>
      </c>
      <c r="B81" s="2"/>
      <c r="C81" s="2"/>
      <c r="D81" s="2"/>
      <c r="E81" s="2"/>
      <c r="F81" s="2"/>
      <c r="G81" s="2"/>
      <c r="H81" s="2"/>
      <c r="I81" s="2"/>
      <c r="J81" s="2"/>
      <c r="K81" s="2"/>
      <c r="L81" s="2"/>
      <c r="M81" s="2"/>
      <c r="N81" s="2"/>
      <c r="O81" s="2"/>
      <c r="P81" s="2"/>
      <c r="Q81" s="33" t="s">
        <v>289</v>
      </c>
      <c r="U81" s="69"/>
    </row>
    <row r="82" spans="1:34" x14ac:dyDescent="0.4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4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4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4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45">
      <c r="A86" s="2">
        <v>5</v>
      </c>
      <c r="B86" s="2" t="s">
        <v>1</v>
      </c>
      <c r="C86" s="2" t="s">
        <v>18</v>
      </c>
      <c r="D86" s="2" t="s">
        <v>100</v>
      </c>
      <c r="E86" s="2" t="s">
        <v>100</v>
      </c>
      <c r="F86" s="2" t="s">
        <v>100</v>
      </c>
      <c r="G86" s="2" t="s">
        <v>100</v>
      </c>
      <c r="H86" s="2" t="str" cm="1">
        <f t="array" ref="H86">CONCATENATE("R", Length)</f>
        <v>R100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4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45">
      <c r="A88" s="2">
        <v>7</v>
      </c>
      <c r="B88" s="2" t="s">
        <v>1</v>
      </c>
      <c r="C88" s="2" t="s">
        <v>18</v>
      </c>
      <c r="D88" s="2" t="s">
        <v>100</v>
      </c>
      <c r="E88" s="2" t="s">
        <v>100</v>
      </c>
      <c r="F88" s="2" t="s">
        <v>100</v>
      </c>
      <c r="G88" s="2" t="s">
        <v>100</v>
      </c>
      <c r="H88" s="2" t="str">
        <f>CONCATENATE("R-", Length)</f>
        <v>R-100</v>
      </c>
      <c r="I88" s="2" t="s">
        <v>100</v>
      </c>
      <c r="J88" s="2" t="s">
        <v>19</v>
      </c>
      <c r="K88" s="2" t="e">
        <f>ExtrusionWidth</f>
        <v>#NAME?</v>
      </c>
      <c r="L88" s="2" t="e">
        <f>ExtrusionHeight</f>
        <v>#NAME?</v>
      </c>
      <c r="M88" s="2"/>
      <c r="N88" s="2"/>
      <c r="O88" s="2"/>
      <c r="P88" s="2"/>
      <c r="Q88" s="2"/>
      <c r="S88" s="46"/>
      <c r="T88" s="46"/>
      <c r="U88" s="70"/>
    </row>
    <row r="89" spans="1:34" x14ac:dyDescent="0.4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4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4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4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4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45">
      <c r="A94" s="2">
        <v>13</v>
      </c>
      <c r="B94" s="91" t="s">
        <v>1</v>
      </c>
      <c r="C94" s="2" t="s">
        <v>18</v>
      </c>
      <c r="D94" s="2" t="e">
        <f>StartX+ExtrusionSpacing_L1</f>
        <v>#NAME?</v>
      </c>
      <c r="E94" s="2" t="e">
        <f>StartY+Length+ExtrusionSpacing_L1</f>
        <v>#NAME?</v>
      </c>
      <c r="F94" s="2">
        <v>1E-4</v>
      </c>
      <c r="G94" s="2" t="s">
        <v>100</v>
      </c>
      <c r="H94" s="2" t="str">
        <f>CONCATENATE("R-", Length)</f>
        <v>R-100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4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45">
      <c r="A96" s="2">
        <v>15</v>
      </c>
      <c r="B96" s="91" t="s">
        <v>1</v>
      </c>
      <c r="C96" s="2" t="s">
        <v>18</v>
      </c>
      <c r="D96" s="2" t="s">
        <v>100</v>
      </c>
      <c r="E96" s="2" t="s">
        <v>100</v>
      </c>
      <c r="F96" s="2" t="s">
        <v>100</v>
      </c>
      <c r="G96" s="2" t="s">
        <v>100</v>
      </c>
      <c r="H96" s="2" t="str" cm="1">
        <f t="array" ref="H96">CONCATENATE("R", Length)</f>
        <v>R100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4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4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4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4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4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45">
      <c r="A102" s="2">
        <v>21</v>
      </c>
      <c r="B102" s="2" t="s">
        <v>1</v>
      </c>
      <c r="C102" s="2" t="s">
        <v>18</v>
      </c>
      <c r="D102" s="2" t="s">
        <v>100</v>
      </c>
      <c r="E102" s="2" t="s">
        <v>100</v>
      </c>
      <c r="F102" s="2" t="s">
        <v>100</v>
      </c>
      <c r="G102" s="2" t="s">
        <v>100</v>
      </c>
      <c r="H102" s="2" t="str" cm="1">
        <f t="array" ref="H102">CONCATENATE("R", Length)</f>
        <v>R100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4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45">
      <c r="A104" s="2">
        <v>23</v>
      </c>
      <c r="B104" s="2" t="s">
        <v>1</v>
      </c>
      <c r="C104" s="2" t="s">
        <v>18</v>
      </c>
      <c r="D104" s="2" t="s">
        <v>100</v>
      </c>
      <c r="E104" s="2" t="s">
        <v>100</v>
      </c>
      <c r="F104" s="2" t="s">
        <v>100</v>
      </c>
      <c r="G104" s="2" t="s">
        <v>100</v>
      </c>
      <c r="H104" s="2" t="str">
        <f>CONCATENATE("R-", Length)</f>
        <v>R-100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4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4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4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4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4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45">
      <c r="A110" s="2">
        <v>29</v>
      </c>
      <c r="B110" s="91" t="s">
        <v>1</v>
      </c>
      <c r="C110" s="2" t="s">
        <v>18</v>
      </c>
      <c r="D110" s="2" t="e">
        <f>StartX+ExtrusionSpacing_L1</f>
        <v>#NAME?</v>
      </c>
      <c r="E110" s="2" t="e">
        <f>StartY+Length+ExtrusionSpacing_L1</f>
        <v>#NAME?</v>
      </c>
      <c r="F110" s="2">
        <v>0.9</v>
      </c>
      <c r="G110" s="2" t="s">
        <v>100</v>
      </c>
      <c r="H110" s="2" t="str">
        <f>CONCATENATE("R-", Length)</f>
        <v>R-100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4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45">
      <c r="A112" s="2">
        <v>31</v>
      </c>
      <c r="B112" s="91" t="s">
        <v>1</v>
      </c>
      <c r="C112" s="2" t="s">
        <v>18</v>
      </c>
      <c r="D112" s="2" t="s">
        <v>100</v>
      </c>
      <c r="E112" s="2" t="s">
        <v>100</v>
      </c>
      <c r="F112" s="2" t="s">
        <v>100</v>
      </c>
      <c r="G112" s="2" t="s">
        <v>100</v>
      </c>
      <c r="H112" s="2" t="str" cm="1">
        <f t="array" ref="H112">CONCATENATE("R", Length)</f>
        <v>R100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4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4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4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4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4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4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4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4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4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45">
      <c r="C123" s="112"/>
    </row>
    <row r="132" spans="3:3" x14ac:dyDescent="0.45">
      <c r="C132" s="112"/>
    </row>
    <row r="135" spans="3:3" x14ac:dyDescent="0.45">
      <c r="C135" s="112"/>
    </row>
    <row r="139" spans="3:3" x14ac:dyDescent="0.45">
      <c r="C139" s="112"/>
    </row>
    <row r="142" spans="3:3" x14ac:dyDescent="0.45">
      <c r="C142" s="112"/>
    </row>
    <row r="150" spans="35:40" x14ac:dyDescent="0.45">
      <c r="AI150" s="64"/>
      <c r="AJ150" s="64"/>
      <c r="AK150" s="64"/>
      <c r="AL150" s="64"/>
      <c r="AM150" s="64"/>
      <c r="AN150" s="64"/>
    </row>
    <row r="151" spans="35:40" x14ac:dyDescent="0.45">
      <c r="AI151" s="64"/>
      <c r="AJ151" s="64"/>
      <c r="AK151" s="64"/>
      <c r="AL151" s="64"/>
      <c r="AM151" s="64"/>
      <c r="AN151" s="64"/>
    </row>
    <row r="152" spans="35:40" x14ac:dyDescent="0.45">
      <c r="AI152" s="64"/>
      <c r="AJ152" s="64"/>
      <c r="AK152" s="64"/>
      <c r="AL152" s="64"/>
      <c r="AM152" s="64"/>
      <c r="AN152" s="64"/>
    </row>
    <row r="153" spans="35:40" x14ac:dyDescent="0.45">
      <c r="AI153" s="64"/>
      <c r="AJ153" s="64"/>
      <c r="AK153" s="64"/>
      <c r="AL153" s="64"/>
      <c r="AM153" s="64"/>
      <c r="AN153" s="64"/>
    </row>
    <row r="154" spans="35:40" x14ac:dyDescent="0.45">
      <c r="AI154" s="64"/>
      <c r="AJ154" s="64"/>
      <c r="AK154" s="64"/>
      <c r="AL154" s="64"/>
      <c r="AM154" s="64"/>
      <c r="AN154" s="64"/>
    </row>
    <row r="155" spans="35:40" x14ac:dyDescent="0.4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4.25" x14ac:dyDescent="0.45"/>
  <sheetData>
    <row r="3" spans="1:46" x14ac:dyDescent="0.45">
      <c r="A3" s="33" t="s">
        <v>129</v>
      </c>
      <c r="B3" s="2" t="s">
        <v>346</v>
      </c>
      <c r="C3" s="33" t="s">
        <v>128</v>
      </c>
      <c r="D3" s="2" t="s">
        <v>347</v>
      </c>
      <c r="U3" s="69"/>
      <c r="AO3" t="s">
        <v>130</v>
      </c>
      <c r="AP3" t="s">
        <v>348</v>
      </c>
      <c r="AQ3" t="s">
        <v>129</v>
      </c>
      <c r="AR3" t="s">
        <v>346</v>
      </c>
      <c r="AS3" t="s">
        <v>128</v>
      </c>
      <c r="AT3" t="s">
        <v>347</v>
      </c>
    </row>
    <row r="4" spans="1:46" x14ac:dyDescent="0.45">
      <c r="A4" s="32" t="s">
        <v>0</v>
      </c>
      <c r="B4" s="2"/>
      <c r="C4" s="2"/>
      <c r="D4" s="2"/>
      <c r="E4" s="2"/>
      <c r="F4" s="2"/>
      <c r="G4" s="2"/>
      <c r="H4" s="2"/>
      <c r="I4" s="2"/>
      <c r="J4" s="2"/>
      <c r="K4" s="2"/>
      <c r="L4" s="2"/>
      <c r="M4" s="2"/>
      <c r="N4" s="2"/>
      <c r="O4" s="2"/>
      <c r="P4" s="2"/>
      <c r="Q4" s="33" t="s">
        <v>289</v>
      </c>
      <c r="U4" s="69"/>
    </row>
    <row r="5" spans="1:46" x14ac:dyDescent="0.4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4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4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4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4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4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4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4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4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4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4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45">
      <c r="A16" s="2">
        <v>12</v>
      </c>
      <c r="B16" s="2"/>
      <c r="C16" s="2"/>
      <c r="D16" s="2"/>
      <c r="E16" s="2"/>
      <c r="F16" s="2"/>
      <c r="G16" s="2"/>
      <c r="H16" s="2"/>
      <c r="I16" s="2"/>
      <c r="J16" s="2"/>
      <c r="K16" s="2"/>
      <c r="L16" s="2"/>
      <c r="M16" s="2"/>
      <c r="N16" s="2"/>
      <c r="O16" s="2"/>
      <c r="P16" s="2"/>
      <c r="Q16" s="2"/>
      <c r="S16" s="5" t="s">
        <v>42</v>
      </c>
      <c r="T16" s="5">
        <v>2.85</v>
      </c>
      <c r="U16" s="5" t="s">
        <v>44</v>
      </c>
    </row>
    <row r="17" spans="1:22" x14ac:dyDescent="0.45">
      <c r="A17" s="2">
        <v>13</v>
      </c>
      <c r="B17" s="2"/>
      <c r="C17" s="2"/>
      <c r="D17" s="2"/>
      <c r="E17" s="2"/>
      <c r="F17" s="2"/>
      <c r="G17" s="2"/>
      <c r="H17" s="2"/>
      <c r="I17" s="2"/>
      <c r="J17" s="2"/>
      <c r="K17" s="2"/>
      <c r="L17" s="2"/>
      <c r="M17" s="2"/>
      <c r="N17" s="2"/>
      <c r="O17" s="2"/>
      <c r="P17" s="2"/>
      <c r="Q17" s="2"/>
      <c r="S17" s="5" t="s">
        <v>46</v>
      </c>
      <c r="T17" s="5" t="s">
        <v>82</v>
      </c>
      <c r="U17" s="5" t="s">
        <v>90</v>
      </c>
    </row>
    <row r="18" spans="1:22" x14ac:dyDescent="0.45">
      <c r="A18" s="2">
        <v>14</v>
      </c>
      <c r="B18" s="2"/>
      <c r="C18" s="2"/>
      <c r="D18" s="2"/>
      <c r="E18" s="2"/>
      <c r="F18" s="2"/>
      <c r="G18" s="2"/>
      <c r="H18" s="2"/>
      <c r="I18" s="2"/>
      <c r="J18" s="2"/>
      <c r="K18" s="2"/>
      <c r="L18" s="2"/>
      <c r="M18" s="2"/>
      <c r="N18" s="2"/>
      <c r="O18" s="2"/>
      <c r="P18" s="2"/>
      <c r="Q18" s="2"/>
      <c r="S18" s="5" t="s">
        <v>108</v>
      </c>
      <c r="T18" s="5" t="s">
        <v>153</v>
      </c>
      <c r="U18" s="5"/>
    </row>
    <row r="19" spans="1:22" x14ac:dyDescent="0.45">
      <c r="A19" s="2">
        <v>15</v>
      </c>
      <c r="B19" s="2"/>
      <c r="C19" s="2"/>
      <c r="D19" s="2"/>
      <c r="E19" s="2"/>
      <c r="F19" s="2"/>
      <c r="G19" s="2"/>
      <c r="H19" s="2"/>
      <c r="I19" s="2"/>
      <c r="J19" s="2"/>
      <c r="K19" s="2"/>
      <c r="L19" s="2"/>
      <c r="M19" s="2"/>
      <c r="N19" s="2"/>
      <c r="O19" s="2"/>
      <c r="P19" s="2"/>
      <c r="Q19" s="2"/>
      <c r="S19" s="5" t="s">
        <v>152</v>
      </c>
      <c r="T19" s="5" t="s">
        <v>125</v>
      </c>
      <c r="U19" s="5"/>
    </row>
    <row r="20" spans="1:22" x14ac:dyDescent="0.45">
      <c r="S20" s="5" t="s">
        <v>167</v>
      </c>
      <c r="T20" s="5">
        <v>20</v>
      </c>
      <c r="U20" s="5" t="s">
        <v>44</v>
      </c>
    </row>
    <row r="21" spans="1:22" x14ac:dyDescent="0.45">
      <c r="S21" s="5" t="s">
        <v>168</v>
      </c>
      <c r="T21" s="5">
        <v>10</v>
      </c>
      <c r="U21" s="5" t="s">
        <v>44</v>
      </c>
    </row>
    <row r="22" spans="1:22" x14ac:dyDescent="0.45">
      <c r="S22" s="5" t="s">
        <v>169</v>
      </c>
      <c r="T22" s="5">
        <v>0.3</v>
      </c>
      <c r="U22" s="5" t="s">
        <v>44</v>
      </c>
    </row>
    <row r="23" spans="1:22" x14ac:dyDescent="0.45">
      <c r="S23" s="62" t="s">
        <v>339</v>
      </c>
      <c r="T23" s="5">
        <v>0</v>
      </c>
      <c r="U23" s="5"/>
      <c r="V23" s="1"/>
    </row>
    <row r="24" spans="1:22" x14ac:dyDescent="0.45">
      <c r="S24" s="5" t="s">
        <v>154</v>
      </c>
      <c r="T24" s="5" t="s">
        <v>166</v>
      </c>
      <c r="U24" s="5" t="s">
        <v>158</v>
      </c>
    </row>
    <row r="25" spans="1:22" x14ac:dyDescent="0.45">
      <c r="S25" s="5" t="s">
        <v>159</v>
      </c>
      <c r="T25" s="5">
        <v>5</v>
      </c>
      <c r="U25" s="5" t="s">
        <v>44</v>
      </c>
      <c r="V25" s="1"/>
    </row>
    <row r="26" spans="1:22" x14ac:dyDescent="0.45">
      <c r="S26" s="5" t="s">
        <v>160</v>
      </c>
      <c r="T26" s="5">
        <v>7</v>
      </c>
      <c r="U26" s="5" t="s">
        <v>90</v>
      </c>
    </row>
    <row r="27" spans="1:22" x14ac:dyDescent="0.45">
      <c r="S27" s="5" t="s">
        <v>161</v>
      </c>
      <c r="T27" s="5">
        <v>2500</v>
      </c>
      <c r="U27" s="5" t="s">
        <v>45</v>
      </c>
    </row>
    <row r="28" spans="1:22" x14ac:dyDescent="0.45">
      <c r="S28" s="5" t="s">
        <v>162</v>
      </c>
      <c r="T28" s="5">
        <f>-T26</f>
        <v>-7</v>
      </c>
      <c r="U28" s="5" t="s">
        <v>90</v>
      </c>
    </row>
    <row r="29" spans="1:22" x14ac:dyDescent="0.45">
      <c r="S29" s="3" t="s">
        <v>163</v>
      </c>
      <c r="T29" s="3">
        <f>T27</f>
        <v>2500</v>
      </c>
      <c r="U29" s="5" t="s">
        <v>45</v>
      </c>
    </row>
    <row r="30" spans="1:22" x14ac:dyDescent="0.45">
      <c r="S30" s="3" t="s">
        <v>164</v>
      </c>
      <c r="T30" s="3">
        <v>0.2</v>
      </c>
      <c r="U30" s="5" t="s">
        <v>44</v>
      </c>
    </row>
    <row r="31" spans="1:22" x14ac:dyDescent="0.45">
      <c r="S31" s="3" t="s">
        <v>165</v>
      </c>
      <c r="T31" s="3">
        <v>7500</v>
      </c>
      <c r="U31" s="5" t="s">
        <v>45</v>
      </c>
    </row>
    <row r="32" spans="1:22" x14ac:dyDescent="0.45">
      <c r="U32" s="69"/>
    </row>
    <row r="33" spans="1:46" x14ac:dyDescent="0.45">
      <c r="S33" s="75" t="s">
        <v>292</v>
      </c>
      <c r="T33" s="75" t="s">
        <v>293</v>
      </c>
      <c r="U33" s="76" t="s">
        <v>331</v>
      </c>
    </row>
    <row r="34" spans="1:46" x14ac:dyDescent="0.45">
      <c r="S34" s="59"/>
      <c r="T34" s="59"/>
      <c r="U34" s="71" t="s">
        <v>109</v>
      </c>
    </row>
    <row r="35" spans="1:46" x14ac:dyDescent="0.45">
      <c r="S35" s="59"/>
      <c r="T35" s="59"/>
      <c r="U35" s="71" t="s">
        <v>109</v>
      </c>
    </row>
    <row r="36" spans="1:46" x14ac:dyDescent="0.45">
      <c r="U36" s="69"/>
    </row>
    <row r="37" spans="1:46" x14ac:dyDescent="0.45">
      <c r="A37" s="33" t="s">
        <v>129</v>
      </c>
      <c r="B37" s="2" t="s">
        <v>371</v>
      </c>
      <c r="C37" s="33" t="s">
        <v>128</v>
      </c>
      <c r="D37" s="2" t="s">
        <v>347</v>
      </c>
      <c r="U37" s="69"/>
      <c r="AO37" t="s">
        <v>130</v>
      </c>
      <c r="AP37" t="s">
        <v>372</v>
      </c>
      <c r="AQ37" t="s">
        <v>129</v>
      </c>
      <c r="AR37" t="s">
        <v>371</v>
      </c>
      <c r="AS37" t="s">
        <v>128</v>
      </c>
      <c r="AT37" t="s">
        <v>347</v>
      </c>
    </row>
    <row r="38" spans="1:46" x14ac:dyDescent="0.45">
      <c r="A38" s="32" t="s">
        <v>0</v>
      </c>
      <c r="B38" s="2"/>
      <c r="C38" s="2"/>
      <c r="D38" s="2"/>
      <c r="E38" s="2"/>
      <c r="F38" s="2"/>
      <c r="G38" s="2"/>
      <c r="H38" s="2"/>
      <c r="I38" s="2"/>
      <c r="J38" s="2"/>
      <c r="K38" s="2"/>
      <c r="L38" s="2"/>
      <c r="M38" s="2"/>
      <c r="N38" s="2"/>
      <c r="O38" s="2"/>
      <c r="P38" s="2"/>
      <c r="Q38" s="33" t="s">
        <v>289</v>
      </c>
      <c r="U38" s="69"/>
    </row>
    <row r="39" spans="1:46" x14ac:dyDescent="0.4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4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4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4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4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4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4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4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4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4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4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4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4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4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45">
      <c r="A53" s="2">
        <v>15</v>
      </c>
      <c r="B53" s="2"/>
      <c r="C53" s="2"/>
      <c r="D53" s="2"/>
      <c r="E53" s="2"/>
      <c r="F53" s="2"/>
      <c r="G53" s="2"/>
      <c r="H53" s="2"/>
      <c r="I53" s="2"/>
      <c r="J53" s="2"/>
      <c r="K53" s="2"/>
      <c r="L53" s="2"/>
      <c r="M53" s="2"/>
      <c r="N53" s="2"/>
      <c r="O53" s="2"/>
      <c r="P53" s="2"/>
      <c r="Q53" s="2"/>
      <c r="S53" s="5" t="s">
        <v>152</v>
      </c>
      <c r="T53" s="5" t="s">
        <v>125</v>
      </c>
      <c r="U53" s="5"/>
    </row>
    <row r="54" spans="1:22" x14ac:dyDescent="0.45">
      <c r="S54" s="5" t="s">
        <v>167</v>
      </c>
      <c r="T54" s="5">
        <v>20</v>
      </c>
      <c r="U54" s="5" t="s">
        <v>44</v>
      </c>
    </row>
    <row r="55" spans="1:22" x14ac:dyDescent="0.45">
      <c r="S55" s="5" t="s">
        <v>168</v>
      </c>
      <c r="T55" s="5">
        <v>10</v>
      </c>
      <c r="U55" s="5" t="s">
        <v>44</v>
      </c>
    </row>
    <row r="56" spans="1:22" x14ac:dyDescent="0.45">
      <c r="S56" s="5" t="s">
        <v>169</v>
      </c>
      <c r="T56" s="5">
        <v>0.3</v>
      </c>
      <c r="U56" s="5" t="s">
        <v>44</v>
      </c>
    </row>
    <row r="57" spans="1:22" x14ac:dyDescent="0.45">
      <c r="S57" s="62" t="s">
        <v>339</v>
      </c>
      <c r="T57" s="5">
        <v>0</v>
      </c>
      <c r="U57" s="5"/>
      <c r="V57" s="1"/>
    </row>
    <row r="58" spans="1:22" x14ac:dyDescent="0.45">
      <c r="S58" s="5" t="s">
        <v>154</v>
      </c>
      <c r="T58" s="5" t="s">
        <v>166</v>
      </c>
      <c r="U58" s="5" t="s">
        <v>158</v>
      </c>
    </row>
    <row r="59" spans="1:22" x14ac:dyDescent="0.45">
      <c r="S59" s="5" t="s">
        <v>159</v>
      </c>
      <c r="T59" s="5">
        <v>5</v>
      </c>
      <c r="U59" s="5" t="s">
        <v>44</v>
      </c>
      <c r="V59" s="1"/>
    </row>
    <row r="60" spans="1:22" x14ac:dyDescent="0.45">
      <c r="S60" s="5" t="s">
        <v>160</v>
      </c>
      <c r="T60" s="5">
        <v>7</v>
      </c>
      <c r="U60" s="5" t="s">
        <v>90</v>
      </c>
    </row>
    <row r="61" spans="1:22" x14ac:dyDescent="0.45">
      <c r="S61" s="5" t="s">
        <v>161</v>
      </c>
      <c r="T61" s="5">
        <v>2500</v>
      </c>
      <c r="U61" s="5" t="s">
        <v>45</v>
      </c>
    </row>
    <row r="62" spans="1:22" x14ac:dyDescent="0.45">
      <c r="S62" s="5" t="s">
        <v>162</v>
      </c>
      <c r="T62" s="5">
        <f>-T60</f>
        <v>-7</v>
      </c>
      <c r="U62" s="5" t="s">
        <v>90</v>
      </c>
    </row>
    <row r="63" spans="1:22" x14ac:dyDescent="0.45">
      <c r="S63" s="3" t="s">
        <v>163</v>
      </c>
      <c r="T63" s="3">
        <f>T61</f>
        <v>2500</v>
      </c>
      <c r="U63" s="5" t="s">
        <v>45</v>
      </c>
    </row>
    <row r="64" spans="1:22" x14ac:dyDescent="0.45">
      <c r="S64" s="3" t="s">
        <v>164</v>
      </c>
      <c r="T64" s="3">
        <v>0.2</v>
      </c>
      <c r="U64" s="5" t="s">
        <v>44</v>
      </c>
    </row>
    <row r="65" spans="1:46" x14ac:dyDescent="0.45">
      <c r="S65" s="3" t="s">
        <v>165</v>
      </c>
      <c r="T65" s="3">
        <v>7500</v>
      </c>
      <c r="U65" s="5" t="s">
        <v>45</v>
      </c>
    </row>
    <row r="66" spans="1:46" x14ac:dyDescent="0.45">
      <c r="U66" s="69"/>
    </row>
    <row r="67" spans="1:46" x14ac:dyDescent="0.45">
      <c r="S67" s="75" t="s">
        <v>292</v>
      </c>
      <c r="T67" s="75" t="s">
        <v>293</v>
      </c>
      <c r="U67" s="76" t="s">
        <v>331</v>
      </c>
    </row>
    <row r="68" spans="1:46" x14ac:dyDescent="0.45">
      <c r="S68" s="59"/>
      <c r="T68" s="59"/>
      <c r="U68" s="71" t="s">
        <v>109</v>
      </c>
    </row>
    <row r="69" spans="1:46" x14ac:dyDescent="0.45">
      <c r="S69" s="59"/>
      <c r="T69" s="59"/>
      <c r="U69" s="71" t="s">
        <v>109</v>
      </c>
    </row>
    <row r="71" spans="1:46" x14ac:dyDescent="0.45">
      <c r="A71" s="33" t="s">
        <v>129</v>
      </c>
      <c r="B71" s="2" t="s">
        <v>375</v>
      </c>
      <c r="C71" s="33" t="s">
        <v>128</v>
      </c>
      <c r="D71" s="2" t="s">
        <v>347</v>
      </c>
      <c r="U71" s="69"/>
      <c r="AO71" t="s">
        <v>130</v>
      </c>
      <c r="AP71" t="s">
        <v>376</v>
      </c>
      <c r="AQ71" t="s">
        <v>129</v>
      </c>
      <c r="AR71" t="s">
        <v>375</v>
      </c>
      <c r="AS71" t="s">
        <v>128</v>
      </c>
      <c r="AT71" t="s">
        <v>347</v>
      </c>
    </row>
    <row r="72" spans="1:46" x14ac:dyDescent="0.45">
      <c r="A72" s="32" t="s">
        <v>0</v>
      </c>
      <c r="B72" s="2"/>
      <c r="C72" s="2"/>
      <c r="D72" s="2"/>
      <c r="E72" s="2"/>
      <c r="F72" s="2"/>
      <c r="G72" s="2"/>
      <c r="H72" s="2"/>
      <c r="I72" s="2"/>
      <c r="J72" s="2"/>
      <c r="K72" s="2"/>
      <c r="L72" s="2"/>
      <c r="M72" s="2"/>
      <c r="N72" s="2"/>
      <c r="O72" s="2"/>
      <c r="P72" s="2"/>
      <c r="Q72" s="33" t="s">
        <v>289</v>
      </c>
      <c r="U72" s="69"/>
    </row>
    <row r="73" spans="1:46" x14ac:dyDescent="0.4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4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4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4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4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45">
      <c r="A78" s="2">
        <v>6</v>
      </c>
      <c r="B78" s="2"/>
      <c r="C78" s="2"/>
      <c r="D78" s="2"/>
      <c r="E78" s="2"/>
      <c r="F78" s="2"/>
      <c r="G78" s="2"/>
      <c r="H78" s="2"/>
      <c r="I78" s="2"/>
      <c r="J78" s="2"/>
      <c r="K78" s="2"/>
      <c r="L78" s="2"/>
      <c r="M78" s="2"/>
      <c r="N78" s="2"/>
      <c r="O78" s="2"/>
      <c r="P78" s="2"/>
      <c r="Q78" s="2"/>
      <c r="S78" s="5" t="s">
        <v>194</v>
      </c>
      <c r="T78" s="5">
        <v>0</v>
      </c>
      <c r="U78" s="5"/>
    </row>
    <row r="79" spans="1:46" x14ac:dyDescent="0.45">
      <c r="A79" s="2">
        <v>7</v>
      </c>
      <c r="B79" s="2"/>
      <c r="C79" s="2"/>
      <c r="D79" s="2"/>
      <c r="E79" s="2"/>
      <c r="F79" s="2"/>
      <c r="G79" s="2"/>
      <c r="H79" s="2"/>
      <c r="I79" s="2"/>
      <c r="J79" s="2"/>
      <c r="K79" s="2"/>
      <c r="L79" s="2"/>
      <c r="M79" s="2"/>
      <c r="N79" s="2"/>
      <c r="O79" s="2"/>
      <c r="P79" s="2"/>
      <c r="Q79" s="2"/>
      <c r="S79" s="46"/>
      <c r="T79" s="46"/>
      <c r="U79" s="70"/>
    </row>
    <row r="80" spans="1:46" x14ac:dyDescent="0.4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45">
      <c r="A81" s="2">
        <v>9</v>
      </c>
      <c r="B81" s="2"/>
      <c r="C81" s="2"/>
      <c r="D81" s="2"/>
      <c r="E81" s="2"/>
      <c r="F81" s="2"/>
      <c r="G81" s="2"/>
      <c r="H81" s="2"/>
      <c r="I81" s="2"/>
      <c r="J81" s="2"/>
      <c r="K81" s="2"/>
      <c r="L81" s="2"/>
      <c r="M81" s="2"/>
      <c r="N81" s="2"/>
      <c r="O81" s="2"/>
      <c r="P81" s="2"/>
      <c r="Q81" s="2"/>
      <c r="S81" s="5" t="s">
        <v>85</v>
      </c>
      <c r="T81" s="5">
        <v>1000</v>
      </c>
      <c r="U81" s="5" t="s">
        <v>45</v>
      </c>
    </row>
    <row r="82" spans="1:22" x14ac:dyDescent="0.45">
      <c r="A82" s="2">
        <v>10</v>
      </c>
      <c r="B82" s="2"/>
      <c r="C82" s="2"/>
      <c r="D82" s="2"/>
      <c r="E82" s="2"/>
      <c r="F82" s="2"/>
      <c r="G82" s="2"/>
      <c r="H82" s="2"/>
      <c r="I82" s="2"/>
      <c r="J82" s="2"/>
      <c r="K82" s="2"/>
      <c r="L82" s="2"/>
      <c r="M82" s="2"/>
      <c r="N82" s="2"/>
      <c r="O82" s="2"/>
      <c r="P82" s="2"/>
      <c r="Q82" s="2"/>
      <c r="S82" s="5" t="s">
        <v>86</v>
      </c>
      <c r="T82" s="5">
        <v>9000</v>
      </c>
      <c r="U82" s="5" t="s">
        <v>45</v>
      </c>
    </row>
    <row r="83" spans="1:22" x14ac:dyDescent="0.4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45">
      <c r="A84" s="2">
        <v>12</v>
      </c>
      <c r="B84" s="2"/>
      <c r="C84" s="2"/>
      <c r="D84" s="2"/>
      <c r="E84" s="2"/>
      <c r="F84" s="2"/>
      <c r="G84" s="2"/>
      <c r="H84" s="2"/>
      <c r="I84" s="2"/>
      <c r="J84" s="2"/>
      <c r="K84" s="2"/>
      <c r="L84" s="2"/>
      <c r="M84" s="2"/>
      <c r="N84" s="2"/>
      <c r="O84" s="2"/>
      <c r="P84" s="2"/>
      <c r="Q84" s="2"/>
      <c r="S84" s="5" t="s">
        <v>42</v>
      </c>
      <c r="T84" s="5">
        <v>2.85</v>
      </c>
      <c r="U84" s="5" t="s">
        <v>44</v>
      </c>
    </row>
    <row r="85" spans="1:22" x14ac:dyDescent="0.45">
      <c r="A85" s="2">
        <v>13</v>
      </c>
      <c r="B85" s="2"/>
      <c r="C85" s="2"/>
      <c r="D85" s="2"/>
      <c r="E85" s="2"/>
      <c r="F85" s="2"/>
      <c r="G85" s="2"/>
      <c r="H85" s="2"/>
      <c r="I85" s="2"/>
      <c r="J85" s="2"/>
      <c r="K85" s="2"/>
      <c r="L85" s="2"/>
      <c r="M85" s="2"/>
      <c r="N85" s="2"/>
      <c r="O85" s="2"/>
      <c r="P85" s="2"/>
      <c r="Q85" s="2"/>
      <c r="S85" s="5" t="s">
        <v>46</v>
      </c>
      <c r="T85" s="5" t="s">
        <v>82</v>
      </c>
      <c r="U85" s="5" t="s">
        <v>90</v>
      </c>
    </row>
    <row r="86" spans="1:22" x14ac:dyDescent="0.45">
      <c r="A86" s="2">
        <v>14</v>
      </c>
      <c r="B86" s="2"/>
      <c r="C86" s="2"/>
      <c r="D86" s="2"/>
      <c r="E86" s="2"/>
      <c r="F86" s="2"/>
      <c r="G86" s="2"/>
      <c r="H86" s="2"/>
      <c r="I86" s="2"/>
      <c r="J86" s="2"/>
      <c r="K86" s="2"/>
      <c r="L86" s="2"/>
      <c r="M86" s="2"/>
      <c r="N86" s="2"/>
      <c r="O86" s="2"/>
      <c r="P86" s="2"/>
      <c r="Q86" s="2"/>
      <c r="S86" s="5" t="s">
        <v>108</v>
      </c>
      <c r="T86" s="5" t="s">
        <v>153</v>
      </c>
      <c r="U86" s="5"/>
    </row>
    <row r="87" spans="1:22" x14ac:dyDescent="0.45">
      <c r="A87" s="2">
        <v>15</v>
      </c>
      <c r="B87" s="2"/>
      <c r="C87" s="2"/>
      <c r="D87" s="2"/>
      <c r="E87" s="2"/>
      <c r="F87" s="2"/>
      <c r="G87" s="2"/>
      <c r="H87" s="2"/>
      <c r="I87" s="2"/>
      <c r="J87" s="2"/>
      <c r="K87" s="2"/>
      <c r="L87" s="2"/>
      <c r="M87" s="2"/>
      <c r="N87" s="2"/>
      <c r="O87" s="2"/>
      <c r="P87" s="2"/>
      <c r="Q87" s="2"/>
      <c r="S87" s="5" t="s">
        <v>152</v>
      </c>
      <c r="T87" s="5" t="s">
        <v>125</v>
      </c>
      <c r="U87" s="5"/>
    </row>
    <row r="88" spans="1:22" x14ac:dyDescent="0.45">
      <c r="S88" s="5" t="s">
        <v>167</v>
      </c>
      <c r="T88" s="5">
        <v>20</v>
      </c>
      <c r="U88" s="5" t="s">
        <v>44</v>
      </c>
    </row>
    <row r="89" spans="1:22" x14ac:dyDescent="0.45">
      <c r="S89" s="5" t="s">
        <v>168</v>
      </c>
      <c r="T89" s="5">
        <v>10</v>
      </c>
      <c r="U89" s="5" t="s">
        <v>44</v>
      </c>
    </row>
    <row r="90" spans="1:22" x14ac:dyDescent="0.45">
      <c r="S90" s="5" t="s">
        <v>169</v>
      </c>
      <c r="T90" s="5">
        <v>0.3</v>
      </c>
      <c r="U90" s="5" t="s">
        <v>44</v>
      </c>
    </row>
    <row r="91" spans="1:22" x14ac:dyDescent="0.45">
      <c r="S91" s="62" t="s">
        <v>339</v>
      </c>
      <c r="T91" s="5">
        <v>0</v>
      </c>
      <c r="U91" s="5"/>
      <c r="V91" s="1"/>
    </row>
    <row r="92" spans="1:22" x14ac:dyDescent="0.45">
      <c r="S92" s="5" t="s">
        <v>154</v>
      </c>
      <c r="T92" s="5" t="s">
        <v>166</v>
      </c>
      <c r="U92" s="5" t="s">
        <v>158</v>
      </c>
    </row>
    <row r="93" spans="1:22" x14ac:dyDescent="0.45">
      <c r="S93" s="5" t="s">
        <v>159</v>
      </c>
      <c r="T93" s="5">
        <v>5</v>
      </c>
      <c r="U93" s="5" t="s">
        <v>44</v>
      </c>
      <c r="V93" s="1"/>
    </row>
    <row r="94" spans="1:22" x14ac:dyDescent="0.45">
      <c r="S94" s="5" t="s">
        <v>160</v>
      </c>
      <c r="T94" s="5">
        <v>7</v>
      </c>
      <c r="U94" s="5" t="s">
        <v>90</v>
      </c>
    </row>
    <row r="95" spans="1:22" x14ac:dyDescent="0.45">
      <c r="S95" s="5" t="s">
        <v>161</v>
      </c>
      <c r="T95" s="5">
        <v>2500</v>
      </c>
      <c r="U95" s="5" t="s">
        <v>45</v>
      </c>
    </row>
    <row r="96" spans="1:22" x14ac:dyDescent="0.45">
      <c r="S96" s="5" t="s">
        <v>162</v>
      </c>
      <c r="T96" s="5">
        <f>-T94</f>
        <v>-7</v>
      </c>
      <c r="U96" s="5" t="s">
        <v>90</v>
      </c>
    </row>
    <row r="97" spans="1:46" x14ac:dyDescent="0.45">
      <c r="S97" s="3" t="s">
        <v>163</v>
      </c>
      <c r="T97" s="3">
        <f>T95</f>
        <v>2500</v>
      </c>
      <c r="U97" s="5" t="s">
        <v>45</v>
      </c>
    </row>
    <row r="98" spans="1:46" x14ac:dyDescent="0.45">
      <c r="S98" s="3" t="s">
        <v>164</v>
      </c>
      <c r="T98" s="3">
        <v>0.2</v>
      </c>
      <c r="U98" s="5" t="s">
        <v>44</v>
      </c>
    </row>
    <row r="99" spans="1:46" x14ac:dyDescent="0.45">
      <c r="S99" s="3" t="s">
        <v>165</v>
      </c>
      <c r="T99" s="3">
        <v>7500</v>
      </c>
      <c r="U99" s="5" t="s">
        <v>45</v>
      </c>
    </row>
    <row r="100" spans="1:46" x14ac:dyDescent="0.45">
      <c r="U100" s="69"/>
    </row>
    <row r="101" spans="1:46" x14ac:dyDescent="0.45">
      <c r="S101" s="75" t="s">
        <v>292</v>
      </c>
      <c r="T101" s="75" t="s">
        <v>293</v>
      </c>
      <c r="U101" s="76" t="s">
        <v>331</v>
      </c>
    </row>
    <row r="102" spans="1:46" x14ac:dyDescent="0.45">
      <c r="S102" s="59"/>
      <c r="T102" s="59"/>
      <c r="U102" s="71" t="s">
        <v>109</v>
      </c>
    </row>
    <row r="103" spans="1:46" x14ac:dyDescent="0.45">
      <c r="S103" s="59"/>
      <c r="T103" s="59"/>
      <c r="U103" s="71" t="s">
        <v>109</v>
      </c>
    </row>
    <row r="105" spans="1:46" x14ac:dyDescent="0.45">
      <c r="A105" s="33" t="s">
        <v>129</v>
      </c>
      <c r="B105" s="2" t="s">
        <v>391</v>
      </c>
      <c r="C105" s="33" t="s">
        <v>128</v>
      </c>
      <c r="D105" s="2" t="s">
        <v>347</v>
      </c>
      <c r="U105" s="69"/>
      <c r="AO105" t="s">
        <v>130</v>
      </c>
      <c r="AP105" t="s">
        <v>392</v>
      </c>
      <c r="AQ105" t="s">
        <v>129</v>
      </c>
      <c r="AR105" t="s">
        <v>391</v>
      </c>
      <c r="AS105" t="s">
        <v>128</v>
      </c>
      <c r="AT105" t="s">
        <v>347</v>
      </c>
    </row>
    <row r="106" spans="1:46" x14ac:dyDescent="0.45">
      <c r="A106" s="32" t="s">
        <v>0</v>
      </c>
      <c r="B106" s="33"/>
      <c r="C106" s="18"/>
      <c r="D106" s="18"/>
      <c r="E106" s="18"/>
      <c r="F106" s="18"/>
      <c r="G106" s="18"/>
      <c r="H106" s="18"/>
      <c r="I106" s="18"/>
      <c r="J106" s="18"/>
      <c r="K106" s="18"/>
      <c r="L106" s="18"/>
      <c r="M106" s="18"/>
      <c r="N106" s="18"/>
      <c r="O106" s="18"/>
      <c r="P106" s="18"/>
      <c r="Q106" s="33" t="s">
        <v>289</v>
      </c>
      <c r="U106" s="69"/>
    </row>
    <row r="107" spans="1:46" x14ac:dyDescent="0.4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4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4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4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4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4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4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4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4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4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4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4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4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4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4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4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4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4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4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45">
      <c r="S126" s="5" t="s">
        <v>154</v>
      </c>
      <c r="T126" s="5" t="s">
        <v>166</v>
      </c>
      <c r="U126" s="5" t="s">
        <v>158</v>
      </c>
    </row>
    <row r="127" spans="1:22" x14ac:dyDescent="0.45">
      <c r="S127" s="5" t="s">
        <v>159</v>
      </c>
      <c r="T127" s="5">
        <v>5</v>
      </c>
      <c r="U127" s="5" t="s">
        <v>44</v>
      </c>
      <c r="V127" s="1"/>
    </row>
    <row r="128" spans="1:22" x14ac:dyDescent="0.45">
      <c r="S128" s="5" t="s">
        <v>160</v>
      </c>
      <c r="T128" s="5">
        <v>7</v>
      </c>
      <c r="U128" s="5" t="s">
        <v>90</v>
      </c>
    </row>
    <row r="129" spans="2:21" x14ac:dyDescent="0.45">
      <c r="S129" s="5" t="s">
        <v>161</v>
      </c>
      <c r="T129" s="5">
        <v>2500</v>
      </c>
      <c r="U129" s="5" t="s">
        <v>45</v>
      </c>
    </row>
    <row r="130" spans="2:21" x14ac:dyDescent="0.45">
      <c r="S130" s="5" t="s">
        <v>162</v>
      </c>
      <c r="T130" s="5">
        <f>-T128</f>
        <v>-7</v>
      </c>
      <c r="U130" s="5" t="s">
        <v>90</v>
      </c>
    </row>
    <row r="131" spans="2:21" x14ac:dyDescent="0.45">
      <c r="S131" s="3" t="s">
        <v>163</v>
      </c>
      <c r="T131" s="3">
        <f>T129</f>
        <v>2500</v>
      </c>
      <c r="U131" s="5" t="s">
        <v>45</v>
      </c>
    </row>
    <row r="132" spans="2:21" x14ac:dyDescent="0.4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4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45">
      <c r="B134" s="64"/>
      <c r="C134" s="64"/>
      <c r="D134" s="64"/>
      <c r="E134" s="64"/>
      <c r="F134" s="64"/>
      <c r="G134" s="64"/>
      <c r="H134" s="64"/>
      <c r="I134" s="64"/>
      <c r="J134" s="64"/>
      <c r="K134" s="64"/>
      <c r="L134" s="64"/>
      <c r="M134" s="64"/>
      <c r="N134" s="64"/>
      <c r="O134" s="64"/>
      <c r="P134" s="64"/>
      <c r="Q134" s="64"/>
      <c r="U134" s="69"/>
    </row>
    <row r="135" spans="2:21" x14ac:dyDescent="0.4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4.25" x14ac:dyDescent="0.45"/>
  <cols>
    <col min="21" max="21" width="9.1328125" style="69"/>
  </cols>
  <sheetData>
    <row r="3" spans="1:46" x14ac:dyDescent="0.45">
      <c r="A3" s="33" t="s">
        <v>129</v>
      </c>
      <c r="B3" s="2" t="s">
        <v>287</v>
      </c>
      <c r="C3" s="33" t="s">
        <v>128</v>
      </c>
      <c r="D3" s="2" t="s">
        <v>334</v>
      </c>
      <c r="AO3" t="s">
        <v>130</v>
      </c>
      <c r="AP3" t="s">
        <v>288</v>
      </c>
      <c r="AQ3" t="s">
        <v>129</v>
      </c>
      <c r="AR3" t="s">
        <v>287</v>
      </c>
      <c r="AS3" t="s">
        <v>128</v>
      </c>
      <c r="AT3" t="s">
        <v>334</v>
      </c>
    </row>
    <row r="4" spans="1:46" x14ac:dyDescent="0.45">
      <c r="A4" s="32" t="s">
        <v>0</v>
      </c>
      <c r="B4" s="2"/>
      <c r="C4" s="2"/>
      <c r="D4" s="2"/>
      <c r="E4" s="2"/>
      <c r="F4" s="2"/>
      <c r="G4" s="2"/>
      <c r="H4" s="2"/>
      <c r="I4" s="2"/>
      <c r="J4" s="2"/>
      <c r="K4" s="2"/>
      <c r="L4" s="2"/>
      <c r="M4" s="2"/>
      <c r="N4" s="2"/>
      <c r="O4" s="2"/>
      <c r="P4" s="2"/>
      <c r="Q4" s="33" t="s">
        <v>289</v>
      </c>
    </row>
    <row r="5" spans="1:46" x14ac:dyDescent="0.4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27</v>
      </c>
      <c r="M5" s="10"/>
      <c r="N5" s="10"/>
      <c r="O5" s="10"/>
      <c r="P5" s="10"/>
      <c r="Q5" s="11" t="s">
        <v>277</v>
      </c>
      <c r="S5" s="74" t="s">
        <v>40</v>
      </c>
      <c r="T5" s="3"/>
      <c r="U5" s="5"/>
    </row>
    <row r="6" spans="1:46" x14ac:dyDescent="0.4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27</v>
      </c>
      <c r="M6" s="12"/>
      <c r="N6" s="12"/>
      <c r="O6" s="12"/>
      <c r="P6" s="12"/>
      <c r="Q6" s="13" t="s">
        <v>278</v>
      </c>
      <c r="S6" s="5" t="s">
        <v>98</v>
      </c>
      <c r="T6" s="5">
        <v>0.2</v>
      </c>
      <c r="U6" s="5" t="s">
        <v>44</v>
      </c>
    </row>
    <row r="7" spans="1:46" x14ac:dyDescent="0.4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4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4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4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4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45">
      <c r="A12" s="2">
        <v>8</v>
      </c>
      <c r="S12" s="5" t="s">
        <v>338</v>
      </c>
      <c r="T12" s="5">
        <v>60</v>
      </c>
      <c r="U12" s="5" t="s">
        <v>43</v>
      </c>
      <c r="V12" s="1"/>
    </row>
    <row r="13" spans="1:46" ht="14.45" customHeight="1" x14ac:dyDescent="0.45">
      <c r="A13" s="2">
        <v>9</v>
      </c>
      <c r="C13" s="115" t="s">
        <v>342</v>
      </c>
      <c r="D13" s="115"/>
      <c r="E13" s="115"/>
      <c r="F13" s="115"/>
      <c r="G13" s="115"/>
      <c r="H13" s="115"/>
      <c r="I13" s="115"/>
      <c r="J13" s="115"/>
      <c r="K13" s="115"/>
      <c r="L13" s="115"/>
      <c r="M13" s="115"/>
      <c r="N13" s="115"/>
      <c r="S13" s="5" t="s">
        <v>85</v>
      </c>
      <c r="T13" s="5">
        <v>1000</v>
      </c>
      <c r="U13" s="5" t="s">
        <v>45</v>
      </c>
    </row>
    <row r="14" spans="1:46" x14ac:dyDescent="0.45">
      <c r="A14" s="2">
        <v>10</v>
      </c>
      <c r="C14" s="115" t="s">
        <v>336</v>
      </c>
      <c r="D14" s="115"/>
      <c r="E14" s="115"/>
      <c r="F14" s="115"/>
      <c r="G14" s="115"/>
      <c r="H14" s="115"/>
      <c r="I14" s="115"/>
      <c r="J14" s="115"/>
      <c r="K14" s="115"/>
      <c r="L14" s="115"/>
      <c r="M14" s="115"/>
      <c r="N14" s="115"/>
      <c r="S14" s="5" t="s">
        <v>86</v>
      </c>
      <c r="T14" s="5">
        <v>9000</v>
      </c>
      <c r="U14" s="5" t="s">
        <v>45</v>
      </c>
    </row>
    <row r="15" spans="1:46" x14ac:dyDescent="0.45">
      <c r="A15" s="2">
        <v>11</v>
      </c>
      <c r="C15" s="115" t="s">
        <v>337</v>
      </c>
      <c r="D15" s="115"/>
      <c r="E15" s="115"/>
      <c r="F15" s="115"/>
      <c r="G15" s="115"/>
      <c r="H15" s="115"/>
      <c r="I15" s="115"/>
      <c r="J15" s="115"/>
      <c r="K15" s="115"/>
      <c r="L15" s="115"/>
      <c r="M15" s="115"/>
      <c r="N15" s="115"/>
      <c r="S15" s="5" t="s">
        <v>41</v>
      </c>
      <c r="T15" s="5">
        <v>210</v>
      </c>
      <c r="U15" s="5" t="s">
        <v>43</v>
      </c>
      <c r="V15" s="1"/>
    </row>
    <row r="16" spans="1:46" x14ac:dyDescent="0.45">
      <c r="A16" s="2">
        <v>12</v>
      </c>
      <c r="C16" s="115" t="s">
        <v>550</v>
      </c>
      <c r="D16" s="115"/>
      <c r="E16" s="115"/>
      <c r="F16" s="115"/>
      <c r="G16" s="115"/>
      <c r="H16" s="115"/>
      <c r="I16" s="115"/>
      <c r="J16" s="115"/>
      <c r="K16" s="115"/>
      <c r="L16" s="115"/>
      <c r="M16" s="115"/>
      <c r="N16" s="115"/>
      <c r="S16" s="5" t="s">
        <v>42</v>
      </c>
      <c r="T16" s="5">
        <v>2.85</v>
      </c>
      <c r="U16" s="5" t="s">
        <v>44</v>
      </c>
    </row>
    <row r="17" spans="1:22" x14ac:dyDescent="0.45">
      <c r="A17" s="2">
        <v>13</v>
      </c>
      <c r="C17" s="115" t="s">
        <v>551</v>
      </c>
      <c r="D17" s="115"/>
      <c r="E17" s="115"/>
      <c r="F17" s="115"/>
      <c r="G17" s="115"/>
      <c r="H17" s="115"/>
      <c r="I17" s="115"/>
      <c r="J17" s="115"/>
      <c r="K17" s="115"/>
      <c r="L17" s="115"/>
      <c r="M17" s="115"/>
      <c r="N17" s="115"/>
      <c r="S17" s="5" t="s">
        <v>46</v>
      </c>
      <c r="T17" s="5" t="s">
        <v>82</v>
      </c>
      <c r="U17" s="5" t="s">
        <v>90</v>
      </c>
    </row>
    <row r="18" spans="1:22" x14ac:dyDescent="0.45">
      <c r="A18" s="2">
        <v>14</v>
      </c>
      <c r="S18" s="5" t="s">
        <v>108</v>
      </c>
      <c r="T18" s="5" t="s">
        <v>153</v>
      </c>
      <c r="U18" s="5"/>
    </row>
    <row r="19" spans="1:22" x14ac:dyDescent="0.45">
      <c r="A19" s="2">
        <v>15</v>
      </c>
      <c r="S19" s="5" t="s">
        <v>152</v>
      </c>
      <c r="T19" s="5" t="s">
        <v>125</v>
      </c>
      <c r="U19" s="5"/>
    </row>
    <row r="20" spans="1:22" x14ac:dyDescent="0.45">
      <c r="S20" s="5" t="s">
        <v>167</v>
      </c>
      <c r="T20" s="5">
        <v>20</v>
      </c>
      <c r="U20" s="5" t="s">
        <v>44</v>
      </c>
    </row>
    <row r="21" spans="1:22" x14ac:dyDescent="0.45">
      <c r="S21" s="5" t="s">
        <v>168</v>
      </c>
      <c r="T21" s="5">
        <v>10</v>
      </c>
      <c r="U21" s="5" t="s">
        <v>44</v>
      </c>
    </row>
    <row r="22" spans="1:22" x14ac:dyDescent="0.45">
      <c r="S22" s="5" t="s">
        <v>169</v>
      </c>
      <c r="T22" s="5">
        <v>0.3</v>
      </c>
      <c r="U22" s="5" t="s">
        <v>44</v>
      </c>
    </row>
    <row r="23" spans="1:22" x14ac:dyDescent="0.45">
      <c r="S23" s="62" t="s">
        <v>339</v>
      </c>
      <c r="T23" s="5">
        <v>0</v>
      </c>
      <c r="U23" s="5"/>
      <c r="V23" s="1"/>
    </row>
    <row r="24" spans="1:22" x14ac:dyDescent="0.45">
      <c r="S24" s="5" t="s">
        <v>154</v>
      </c>
      <c r="T24" s="5" t="s">
        <v>166</v>
      </c>
      <c r="U24" s="5" t="s">
        <v>158</v>
      </c>
    </row>
    <row r="25" spans="1:22" x14ac:dyDescent="0.45">
      <c r="S25" s="5" t="s">
        <v>159</v>
      </c>
      <c r="T25" s="5">
        <v>5</v>
      </c>
      <c r="U25" s="5" t="s">
        <v>44</v>
      </c>
      <c r="V25" s="1"/>
    </row>
    <row r="26" spans="1:22" x14ac:dyDescent="0.45">
      <c r="S26" s="5" t="s">
        <v>160</v>
      </c>
      <c r="T26" s="5">
        <v>7</v>
      </c>
      <c r="U26" s="5" t="s">
        <v>90</v>
      </c>
    </row>
    <row r="27" spans="1:22" x14ac:dyDescent="0.45">
      <c r="S27" s="5" t="s">
        <v>161</v>
      </c>
      <c r="T27" s="5">
        <v>2500</v>
      </c>
      <c r="U27" s="5" t="s">
        <v>45</v>
      </c>
    </row>
    <row r="28" spans="1:22" x14ac:dyDescent="0.45">
      <c r="S28" s="5" t="s">
        <v>162</v>
      </c>
      <c r="T28" s="5">
        <f>-T26</f>
        <v>-7</v>
      </c>
      <c r="U28" s="5" t="s">
        <v>90</v>
      </c>
    </row>
    <row r="29" spans="1:22" x14ac:dyDescent="0.45">
      <c r="S29" s="3" t="s">
        <v>163</v>
      </c>
      <c r="T29" s="3">
        <f>T27</f>
        <v>2500</v>
      </c>
      <c r="U29" s="5" t="s">
        <v>45</v>
      </c>
    </row>
    <row r="30" spans="1:22" x14ac:dyDescent="0.45">
      <c r="S30" s="3" t="s">
        <v>164</v>
      </c>
      <c r="T30" s="3">
        <v>0.2</v>
      </c>
      <c r="U30" s="5" t="s">
        <v>44</v>
      </c>
    </row>
    <row r="31" spans="1:22" x14ac:dyDescent="0.45">
      <c r="S31" s="3" t="s">
        <v>165</v>
      </c>
      <c r="T31" s="3">
        <v>7500</v>
      </c>
      <c r="U31" s="5" t="s">
        <v>45</v>
      </c>
    </row>
    <row r="33" spans="19:21" x14ac:dyDescent="0.45">
      <c r="S33" s="75" t="s">
        <v>292</v>
      </c>
      <c r="T33" s="75" t="s">
        <v>293</v>
      </c>
      <c r="U33" s="76" t="s">
        <v>331</v>
      </c>
    </row>
    <row r="34" spans="19:21" x14ac:dyDescent="0.45">
      <c r="S34" s="59"/>
      <c r="T34" s="59"/>
      <c r="U34" s="71"/>
    </row>
    <row r="35" spans="19:21" x14ac:dyDescent="0.45">
      <c r="S35" s="59" t="s">
        <v>326</v>
      </c>
      <c r="T35" s="59"/>
      <c r="U35" s="71"/>
    </row>
    <row r="36" spans="19:21" x14ac:dyDescent="0.45">
      <c r="S36" s="59" t="s">
        <v>271</v>
      </c>
      <c r="T36" s="59">
        <v>50</v>
      </c>
      <c r="U36" s="71" t="s">
        <v>44</v>
      </c>
    </row>
    <row r="37" spans="19:21" x14ac:dyDescent="0.45">
      <c r="S37" s="59" t="s">
        <v>272</v>
      </c>
      <c r="T37" s="59">
        <v>50</v>
      </c>
      <c r="U37" s="71" t="s">
        <v>44</v>
      </c>
    </row>
    <row r="38" spans="19:21" x14ac:dyDescent="0.45">
      <c r="S38" s="59" t="s">
        <v>179</v>
      </c>
      <c r="T38" s="59">
        <v>0.6</v>
      </c>
      <c r="U38" s="71" t="s">
        <v>44</v>
      </c>
    </row>
    <row r="39" spans="19:21" x14ac:dyDescent="0.45">
      <c r="S39" s="59" t="s">
        <v>180</v>
      </c>
      <c r="T39" s="59">
        <v>0.2</v>
      </c>
      <c r="U39" s="71" t="s">
        <v>44</v>
      </c>
    </row>
    <row r="40" spans="19:21" x14ac:dyDescent="0.45">
      <c r="S40" s="59" t="s">
        <v>136</v>
      </c>
      <c r="T40" s="59">
        <v>4</v>
      </c>
      <c r="U40" s="71" t="s">
        <v>89</v>
      </c>
    </row>
    <row r="41" spans="19:21" x14ac:dyDescent="0.45">
      <c r="S41" s="59" t="s">
        <v>103</v>
      </c>
      <c r="T41" s="59">
        <v>16</v>
      </c>
      <c r="U41" s="71" t="s">
        <v>44</v>
      </c>
    </row>
    <row r="42" spans="19:21" x14ac:dyDescent="0.45">
      <c r="S42" s="59" t="s">
        <v>274</v>
      </c>
      <c r="T42" s="59">
        <v>40</v>
      </c>
      <c r="U42" s="71" t="s">
        <v>89</v>
      </c>
    </row>
    <row r="43" spans="19:21" x14ac:dyDescent="0.45">
      <c r="S43" s="59" t="s">
        <v>101</v>
      </c>
      <c r="T43" s="59">
        <v>90</v>
      </c>
      <c r="U43" s="71" t="s">
        <v>137</v>
      </c>
    </row>
    <row r="44" spans="19:21" x14ac:dyDescent="0.45">
      <c r="S44" s="59"/>
      <c r="T44" s="59"/>
      <c r="U44" s="71" t="s">
        <v>109</v>
      </c>
    </row>
    <row r="45" spans="19:21" x14ac:dyDescent="0.45">
      <c r="S45" s="59"/>
      <c r="T45" s="59"/>
      <c r="U45" s="71" t="s">
        <v>109</v>
      </c>
    </row>
    <row r="46" spans="19:21" x14ac:dyDescent="0.45">
      <c r="S46" s="61" t="s">
        <v>327</v>
      </c>
      <c r="T46" s="61"/>
      <c r="U46" s="71"/>
    </row>
    <row r="47" spans="19:21" x14ac:dyDescent="0.45">
      <c r="S47" s="61" t="s">
        <v>104</v>
      </c>
      <c r="T47" s="61" t="e">
        <f>Period/2</f>
        <v>#NAME?</v>
      </c>
      <c r="U47" s="71" t="s">
        <v>44</v>
      </c>
    </row>
    <row r="48" spans="19:21" x14ac:dyDescent="0.45">
      <c r="S48" s="61" t="s">
        <v>105</v>
      </c>
      <c r="T48" s="61" t="e">
        <f>Period/4</f>
        <v>#NAME?</v>
      </c>
      <c r="U48" s="71" t="s">
        <v>44</v>
      </c>
    </row>
    <row r="49" spans="1:46" x14ac:dyDescent="0.45">
      <c r="S49" s="61" t="s">
        <v>102</v>
      </c>
      <c r="T49" s="61" t="e">
        <f>ArcAngle/2</f>
        <v>#NAME?</v>
      </c>
      <c r="U49" s="71" t="s">
        <v>137</v>
      </c>
    </row>
    <row r="50" spans="1:46" x14ac:dyDescent="0.45">
      <c r="S50" s="61" t="s">
        <v>276</v>
      </c>
      <c r="T50" s="61" t="e">
        <f>NumberOfLayers*SecondLayerOffset</f>
        <v>#NAME?</v>
      </c>
      <c r="U50" s="71" t="s">
        <v>44</v>
      </c>
    </row>
    <row r="51" spans="1:46" x14ac:dyDescent="0.45">
      <c r="S51" s="61" t="s">
        <v>275</v>
      </c>
      <c r="T51" s="61">
        <f>_xlfn.SINGLE(Height)/2</f>
        <v>13.5</v>
      </c>
      <c r="U51" s="71" t="s">
        <v>44</v>
      </c>
    </row>
    <row r="53" spans="1:46" x14ac:dyDescent="0.45">
      <c r="A53" s="33" t="s">
        <v>129</v>
      </c>
      <c r="B53" s="2" t="s">
        <v>322</v>
      </c>
      <c r="C53" s="33" t="s">
        <v>128</v>
      </c>
      <c r="D53" s="2" t="s">
        <v>334</v>
      </c>
      <c r="AO53" t="s">
        <v>130</v>
      </c>
      <c r="AP53" t="s">
        <v>321</v>
      </c>
      <c r="AQ53" t="s">
        <v>129</v>
      </c>
      <c r="AR53" t="s">
        <v>322</v>
      </c>
      <c r="AS53" t="s">
        <v>128</v>
      </c>
      <c r="AT53" t="s">
        <v>334</v>
      </c>
    </row>
    <row r="54" spans="1:46" x14ac:dyDescent="0.45">
      <c r="A54" s="32" t="s">
        <v>0</v>
      </c>
      <c r="B54" s="33"/>
      <c r="C54" s="18"/>
      <c r="D54" s="18"/>
      <c r="E54" s="18"/>
      <c r="F54" s="18"/>
      <c r="G54" s="18"/>
      <c r="H54" s="18"/>
      <c r="I54" s="18"/>
      <c r="J54" s="18"/>
      <c r="K54" s="18"/>
      <c r="L54" s="18"/>
      <c r="M54" s="18"/>
      <c r="N54" s="18"/>
      <c r="O54" s="18"/>
      <c r="P54" s="18"/>
      <c r="Q54" s="33" t="s">
        <v>289</v>
      </c>
    </row>
    <row r="55" spans="1:46" x14ac:dyDescent="0.4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4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4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4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4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4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4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4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4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4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4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45">
      <c r="S66" s="5" t="s">
        <v>42</v>
      </c>
      <c r="T66" s="5">
        <v>2.85</v>
      </c>
      <c r="U66" s="5" t="s">
        <v>44</v>
      </c>
    </row>
    <row r="67" spans="1:22" x14ac:dyDescent="0.45">
      <c r="S67" s="5" t="s">
        <v>46</v>
      </c>
      <c r="T67" s="5" t="s">
        <v>82</v>
      </c>
      <c r="U67" s="5" t="s">
        <v>90</v>
      </c>
    </row>
    <row r="68" spans="1:22" x14ac:dyDescent="0.45">
      <c r="S68" s="5" t="s">
        <v>108</v>
      </c>
      <c r="T68" s="5" t="s">
        <v>153</v>
      </c>
      <c r="U68" s="5"/>
    </row>
    <row r="69" spans="1:22" x14ac:dyDescent="0.45">
      <c r="S69" s="5" t="s">
        <v>152</v>
      </c>
      <c r="T69" s="5" t="s">
        <v>125</v>
      </c>
      <c r="U69" s="5"/>
    </row>
    <row r="70" spans="1:22" x14ac:dyDescent="0.45">
      <c r="S70" s="5" t="s">
        <v>167</v>
      </c>
      <c r="T70" s="5">
        <v>20</v>
      </c>
      <c r="U70" s="5" t="s">
        <v>44</v>
      </c>
    </row>
    <row r="71" spans="1:22" x14ac:dyDescent="0.45">
      <c r="S71" s="5" t="s">
        <v>168</v>
      </c>
      <c r="T71" s="5">
        <v>10</v>
      </c>
      <c r="U71" s="5" t="s">
        <v>44</v>
      </c>
    </row>
    <row r="72" spans="1:22" x14ac:dyDescent="0.45">
      <c r="S72" s="5" t="s">
        <v>169</v>
      </c>
      <c r="T72" s="5">
        <v>0.3</v>
      </c>
      <c r="U72" s="5" t="s">
        <v>44</v>
      </c>
    </row>
    <row r="73" spans="1:22" x14ac:dyDescent="0.45">
      <c r="S73" s="62" t="s">
        <v>339</v>
      </c>
      <c r="T73" s="5">
        <v>0</v>
      </c>
      <c r="U73" s="5"/>
      <c r="V73" s="1"/>
    </row>
    <row r="74" spans="1:22" x14ac:dyDescent="0.45">
      <c r="S74" s="5" t="s">
        <v>154</v>
      </c>
      <c r="T74" s="5" t="s">
        <v>166</v>
      </c>
      <c r="U74" s="5" t="s">
        <v>158</v>
      </c>
    </row>
    <row r="75" spans="1:22" x14ac:dyDescent="0.45">
      <c r="S75" s="5" t="s">
        <v>159</v>
      </c>
      <c r="T75" s="5">
        <v>5</v>
      </c>
      <c r="U75" s="5" t="s">
        <v>44</v>
      </c>
      <c r="V75" s="1"/>
    </row>
    <row r="76" spans="1:22" x14ac:dyDescent="0.45">
      <c r="S76" s="5" t="s">
        <v>160</v>
      </c>
      <c r="T76" s="5">
        <v>7</v>
      </c>
      <c r="U76" s="5" t="s">
        <v>90</v>
      </c>
    </row>
    <row r="77" spans="1:22" x14ac:dyDescent="0.45">
      <c r="S77" s="5" t="s">
        <v>161</v>
      </c>
      <c r="T77" s="5">
        <v>2500</v>
      </c>
      <c r="U77" s="5" t="s">
        <v>45</v>
      </c>
    </row>
    <row r="78" spans="1:22" x14ac:dyDescent="0.45">
      <c r="S78" s="5" t="s">
        <v>162</v>
      </c>
      <c r="T78" s="5">
        <f>-T76</f>
        <v>-7</v>
      </c>
      <c r="U78" s="5" t="s">
        <v>90</v>
      </c>
    </row>
    <row r="79" spans="1:22" x14ac:dyDescent="0.45">
      <c r="S79" s="3" t="s">
        <v>163</v>
      </c>
      <c r="T79" s="3">
        <f>T77</f>
        <v>2500</v>
      </c>
      <c r="U79" s="5" t="s">
        <v>45</v>
      </c>
    </row>
    <row r="80" spans="1:22" x14ac:dyDescent="0.45">
      <c r="S80" s="3" t="s">
        <v>164</v>
      </c>
      <c r="T80" s="3">
        <v>0.2</v>
      </c>
      <c r="U80" s="5" t="s">
        <v>44</v>
      </c>
    </row>
    <row r="81" spans="1:46" x14ac:dyDescent="0.45">
      <c r="S81" s="3" t="s">
        <v>165</v>
      </c>
      <c r="T81" s="3">
        <v>7500</v>
      </c>
      <c r="U81" s="5" t="s">
        <v>45</v>
      </c>
    </row>
    <row r="83" spans="1:46" x14ac:dyDescent="0.45">
      <c r="S83" s="75" t="s">
        <v>292</v>
      </c>
      <c r="T83" s="75" t="s">
        <v>293</v>
      </c>
      <c r="U83" s="76" t="s">
        <v>331</v>
      </c>
    </row>
    <row r="84" spans="1:46" x14ac:dyDescent="0.45">
      <c r="S84" s="59"/>
      <c r="T84" s="59"/>
      <c r="U84" s="71"/>
    </row>
    <row r="85" spans="1:46" x14ac:dyDescent="0.45">
      <c r="S85" s="59" t="s">
        <v>309</v>
      </c>
      <c r="T85" s="59">
        <v>0.2</v>
      </c>
      <c r="U85" s="71" t="s">
        <v>44</v>
      </c>
    </row>
    <row r="86" spans="1:46" x14ac:dyDescent="0.45">
      <c r="S86" s="59" t="s">
        <v>307</v>
      </c>
      <c r="T86" s="59">
        <v>1</v>
      </c>
      <c r="U86" s="71" t="s">
        <v>44</v>
      </c>
    </row>
    <row r="87" spans="1:46" x14ac:dyDescent="0.45">
      <c r="S87" s="59" t="s">
        <v>308</v>
      </c>
      <c r="T87" s="59">
        <v>0.5</v>
      </c>
      <c r="U87" s="71" t="s">
        <v>44</v>
      </c>
    </row>
    <row r="89" spans="1:46" x14ac:dyDescent="0.45">
      <c r="A89" s="33" t="s">
        <v>129</v>
      </c>
      <c r="B89" s="2" t="s">
        <v>324</v>
      </c>
      <c r="C89" s="33" t="s">
        <v>128</v>
      </c>
      <c r="D89" s="2" t="s">
        <v>334</v>
      </c>
      <c r="AO89" t="s">
        <v>130</v>
      </c>
      <c r="AP89" t="s">
        <v>325</v>
      </c>
      <c r="AQ89" t="s">
        <v>129</v>
      </c>
      <c r="AR89" t="s">
        <v>324</v>
      </c>
      <c r="AS89" t="s">
        <v>128</v>
      </c>
      <c r="AT89" t="s">
        <v>334</v>
      </c>
    </row>
    <row r="90" spans="1:46" x14ac:dyDescent="0.45">
      <c r="A90" s="32" t="s">
        <v>0</v>
      </c>
      <c r="B90" s="33"/>
      <c r="C90" s="18"/>
      <c r="D90" s="18"/>
      <c r="E90" s="18"/>
      <c r="F90" s="18"/>
      <c r="G90" s="18"/>
      <c r="H90" s="18"/>
      <c r="I90" s="18"/>
      <c r="J90" s="18"/>
      <c r="K90" s="18"/>
      <c r="L90" s="18"/>
      <c r="M90" s="18"/>
      <c r="N90" s="18"/>
      <c r="O90" s="18"/>
      <c r="P90" s="18"/>
      <c r="Q90" s="33" t="s">
        <v>289</v>
      </c>
    </row>
    <row r="91" spans="1:46" x14ac:dyDescent="0.4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45">
      <c r="A92" s="2">
        <v>2</v>
      </c>
      <c r="B92" s="2"/>
      <c r="C92" s="2"/>
      <c r="D92" s="2"/>
      <c r="E92" s="2"/>
      <c r="F92" s="2"/>
      <c r="G92" s="2"/>
      <c r="H92" s="2"/>
      <c r="I92" s="2"/>
      <c r="J92" s="2"/>
      <c r="K92" s="2"/>
      <c r="L92" s="2"/>
      <c r="M92" s="2"/>
      <c r="N92" s="2"/>
      <c r="O92" s="2"/>
      <c r="P92" s="2"/>
      <c r="Q92" s="2"/>
      <c r="S92" s="5" t="s">
        <v>98</v>
      </c>
      <c r="T92" s="5">
        <v>0.2</v>
      </c>
      <c r="U92" s="5" t="s">
        <v>44</v>
      </c>
    </row>
    <row r="93" spans="1:46" x14ac:dyDescent="0.45">
      <c r="A93" s="2">
        <v>3</v>
      </c>
      <c r="B93" s="2"/>
      <c r="C93" s="2"/>
      <c r="D93" s="2"/>
      <c r="E93" s="2"/>
      <c r="F93" s="2"/>
      <c r="G93" s="2"/>
      <c r="H93" s="2"/>
      <c r="I93" s="2"/>
      <c r="J93" s="2"/>
      <c r="K93" s="2"/>
      <c r="L93" s="2"/>
      <c r="M93" s="2"/>
      <c r="N93" s="2"/>
      <c r="O93" s="2"/>
      <c r="P93" s="2"/>
      <c r="Q93" s="2"/>
      <c r="S93" s="5" t="s">
        <v>87</v>
      </c>
      <c r="T93" s="5">
        <v>1</v>
      </c>
      <c r="U93" s="5" t="s">
        <v>89</v>
      </c>
    </row>
    <row r="94" spans="1:46" x14ac:dyDescent="0.45">
      <c r="A94" s="2">
        <v>4</v>
      </c>
      <c r="B94" s="2"/>
      <c r="C94" s="2"/>
      <c r="D94" s="2"/>
      <c r="E94" s="2"/>
      <c r="F94" s="2"/>
      <c r="G94" s="2"/>
      <c r="H94" s="2"/>
      <c r="I94" s="2"/>
      <c r="J94" s="2"/>
      <c r="K94" s="2"/>
      <c r="L94" s="2"/>
      <c r="M94" s="2"/>
      <c r="N94" s="2"/>
      <c r="O94" s="2"/>
      <c r="P94" s="2"/>
      <c r="Q94" s="2"/>
      <c r="S94" s="5" t="s">
        <v>88</v>
      </c>
      <c r="T94" s="5">
        <v>1</v>
      </c>
      <c r="U94" s="5" t="s">
        <v>89</v>
      </c>
    </row>
    <row r="95" spans="1:46" x14ac:dyDescent="0.45">
      <c r="A95" s="2">
        <v>5</v>
      </c>
      <c r="B95" s="2"/>
      <c r="C95" s="2"/>
      <c r="D95" s="2"/>
      <c r="E95" s="2"/>
      <c r="F95" s="2"/>
      <c r="G95" s="2"/>
      <c r="H95" s="2"/>
      <c r="I95" s="2"/>
      <c r="J95" s="2"/>
      <c r="K95" s="2"/>
      <c r="L95" s="2"/>
      <c r="M95" s="2"/>
      <c r="N95" s="2"/>
      <c r="O95" s="2"/>
      <c r="P95" s="2"/>
      <c r="Q95" s="2"/>
      <c r="S95" s="5" t="s">
        <v>193</v>
      </c>
      <c r="T95" s="5" t="s">
        <v>204</v>
      </c>
      <c r="U95" s="5"/>
    </row>
    <row r="96" spans="1:46" x14ac:dyDescent="0.45">
      <c r="A96" s="2">
        <v>6</v>
      </c>
      <c r="B96" s="2"/>
      <c r="C96" s="2"/>
      <c r="D96" s="2"/>
      <c r="E96" s="2"/>
      <c r="F96" s="2"/>
      <c r="G96" s="2"/>
      <c r="H96" s="2"/>
      <c r="I96" s="2"/>
      <c r="J96" s="2"/>
      <c r="K96" s="2"/>
      <c r="L96" s="2"/>
      <c r="M96" s="2"/>
      <c r="N96" s="2"/>
      <c r="O96" s="2"/>
      <c r="P96" s="2"/>
      <c r="Q96" s="2"/>
      <c r="S96" s="5" t="s">
        <v>194</v>
      </c>
      <c r="T96" s="5">
        <v>0</v>
      </c>
      <c r="U96" s="5"/>
    </row>
    <row r="97" spans="1:22" x14ac:dyDescent="0.45">
      <c r="A97" s="2">
        <v>7</v>
      </c>
      <c r="B97" s="2"/>
      <c r="C97" s="2"/>
      <c r="D97" s="2"/>
      <c r="E97" s="2"/>
      <c r="F97" s="2"/>
      <c r="G97" s="2"/>
      <c r="H97" s="2"/>
      <c r="I97" s="2"/>
      <c r="J97" s="2"/>
      <c r="K97" s="2"/>
      <c r="L97" s="2"/>
      <c r="M97" s="2"/>
      <c r="N97" s="2"/>
      <c r="O97" s="2"/>
      <c r="P97" s="2"/>
      <c r="Q97" s="2"/>
      <c r="S97" s="46"/>
      <c r="T97" s="46"/>
      <c r="U97" s="70"/>
    </row>
    <row r="98" spans="1:22" x14ac:dyDescent="0.4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45">
      <c r="A99" s="2">
        <v>9</v>
      </c>
      <c r="B99" s="2"/>
      <c r="C99" s="2"/>
      <c r="D99" s="2"/>
      <c r="E99" s="2"/>
      <c r="F99" s="36"/>
      <c r="G99" s="2"/>
      <c r="H99" s="2"/>
      <c r="I99" s="2"/>
      <c r="J99" s="2"/>
      <c r="K99" s="2"/>
      <c r="L99" s="2"/>
      <c r="M99" s="2"/>
      <c r="N99" s="2"/>
      <c r="O99" s="2"/>
      <c r="P99" s="2"/>
      <c r="Q99" s="2"/>
      <c r="S99" s="5" t="s">
        <v>85</v>
      </c>
      <c r="T99" s="5">
        <v>1000</v>
      </c>
      <c r="U99" s="5" t="s">
        <v>45</v>
      </c>
    </row>
    <row r="100" spans="1:22" x14ac:dyDescent="0.4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4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45">
      <c r="S102" s="5" t="s">
        <v>42</v>
      </c>
      <c r="T102" s="5">
        <v>2.85</v>
      </c>
      <c r="U102" s="5" t="s">
        <v>44</v>
      </c>
    </row>
    <row r="103" spans="1:22" x14ac:dyDescent="0.45">
      <c r="S103" s="5" t="s">
        <v>46</v>
      </c>
      <c r="T103" s="5" t="s">
        <v>82</v>
      </c>
      <c r="U103" s="5" t="s">
        <v>90</v>
      </c>
    </row>
    <row r="104" spans="1:22" x14ac:dyDescent="0.45">
      <c r="S104" s="5" t="s">
        <v>108</v>
      </c>
      <c r="T104" s="5" t="s">
        <v>153</v>
      </c>
      <c r="U104" s="5"/>
    </row>
    <row r="105" spans="1:22" x14ac:dyDescent="0.45">
      <c r="S105" s="5" t="s">
        <v>152</v>
      </c>
      <c r="T105" s="5" t="s">
        <v>125</v>
      </c>
      <c r="U105" s="5"/>
    </row>
    <row r="106" spans="1:22" x14ac:dyDescent="0.45">
      <c r="S106" s="5" t="s">
        <v>167</v>
      </c>
      <c r="T106" s="5">
        <v>20</v>
      </c>
      <c r="U106" s="5" t="s">
        <v>44</v>
      </c>
    </row>
    <row r="107" spans="1:22" x14ac:dyDescent="0.45">
      <c r="S107" s="5" t="s">
        <v>168</v>
      </c>
      <c r="T107" s="5">
        <v>10</v>
      </c>
      <c r="U107" s="5" t="s">
        <v>44</v>
      </c>
    </row>
    <row r="108" spans="1:22" x14ac:dyDescent="0.45">
      <c r="S108" s="5" t="s">
        <v>169</v>
      </c>
      <c r="T108" s="5">
        <v>0.3</v>
      </c>
      <c r="U108" s="5" t="s">
        <v>44</v>
      </c>
    </row>
    <row r="109" spans="1:22" x14ac:dyDescent="0.45">
      <c r="S109" s="62" t="s">
        <v>339</v>
      </c>
      <c r="T109" s="5">
        <v>0</v>
      </c>
      <c r="U109" s="5"/>
      <c r="V109" s="1"/>
    </row>
    <row r="110" spans="1:22" x14ac:dyDescent="0.45">
      <c r="S110" s="5" t="s">
        <v>154</v>
      </c>
      <c r="T110" s="5" t="s">
        <v>166</v>
      </c>
      <c r="U110" s="5" t="s">
        <v>158</v>
      </c>
    </row>
    <row r="111" spans="1:22" x14ac:dyDescent="0.45">
      <c r="S111" s="5" t="s">
        <v>159</v>
      </c>
      <c r="T111" s="5">
        <v>5</v>
      </c>
      <c r="U111" s="5" t="s">
        <v>44</v>
      </c>
      <c r="V111" s="1"/>
    </row>
    <row r="112" spans="1:22" x14ac:dyDescent="0.45">
      <c r="S112" s="5" t="s">
        <v>160</v>
      </c>
      <c r="T112" s="5">
        <v>7</v>
      </c>
      <c r="U112" s="5" t="s">
        <v>90</v>
      </c>
    </row>
    <row r="113" spans="1:46" x14ac:dyDescent="0.45">
      <c r="S113" s="5" t="s">
        <v>161</v>
      </c>
      <c r="T113" s="5">
        <v>2500</v>
      </c>
      <c r="U113" s="5" t="s">
        <v>45</v>
      </c>
    </row>
    <row r="114" spans="1:46" x14ac:dyDescent="0.45">
      <c r="S114" s="5" t="s">
        <v>162</v>
      </c>
      <c r="T114" s="5">
        <f>-T112</f>
        <v>-7</v>
      </c>
      <c r="U114" s="5" t="s">
        <v>90</v>
      </c>
    </row>
    <row r="115" spans="1:46" x14ac:dyDescent="0.45">
      <c r="S115" s="3" t="s">
        <v>163</v>
      </c>
      <c r="T115" s="3">
        <f>T113</f>
        <v>2500</v>
      </c>
      <c r="U115" s="5" t="s">
        <v>45</v>
      </c>
    </row>
    <row r="116" spans="1:46" x14ac:dyDescent="0.45">
      <c r="S116" s="3" t="s">
        <v>164</v>
      </c>
      <c r="T116" s="3">
        <v>0.2</v>
      </c>
      <c r="U116" s="5" t="s">
        <v>44</v>
      </c>
    </row>
    <row r="117" spans="1:46" x14ac:dyDescent="0.45">
      <c r="S117" s="3" t="s">
        <v>165</v>
      </c>
      <c r="T117" s="3">
        <v>7500</v>
      </c>
      <c r="U117" s="5" t="s">
        <v>45</v>
      </c>
    </row>
    <row r="119" spans="1:46" x14ac:dyDescent="0.45">
      <c r="S119" s="75" t="s">
        <v>292</v>
      </c>
      <c r="T119" s="75" t="s">
        <v>293</v>
      </c>
      <c r="U119" s="76" t="s">
        <v>331</v>
      </c>
    </row>
    <row r="120" spans="1:46" x14ac:dyDescent="0.45">
      <c r="S120" s="59"/>
      <c r="T120" s="59"/>
      <c r="U120" s="71"/>
    </row>
    <row r="121" spans="1:46" x14ac:dyDescent="0.45">
      <c r="S121" s="59" t="s">
        <v>14</v>
      </c>
      <c r="T121" s="59">
        <v>12</v>
      </c>
      <c r="U121" s="71" t="s">
        <v>44</v>
      </c>
    </row>
    <row r="122" spans="1:46" x14ac:dyDescent="0.45">
      <c r="S122" s="59" t="s">
        <v>330</v>
      </c>
      <c r="T122" s="59">
        <v>2</v>
      </c>
      <c r="U122" s="71" t="s">
        <v>44</v>
      </c>
    </row>
    <row r="123" spans="1:46" x14ac:dyDescent="0.45">
      <c r="S123" s="59"/>
      <c r="T123" s="59"/>
      <c r="U123" s="71"/>
    </row>
    <row r="125" spans="1:46" x14ac:dyDescent="0.45">
      <c r="A125" s="33" t="s">
        <v>129</v>
      </c>
      <c r="B125" s="2" t="s">
        <v>299</v>
      </c>
      <c r="C125" s="33" t="s">
        <v>128</v>
      </c>
      <c r="D125" s="2" t="s">
        <v>334</v>
      </c>
      <c r="AO125" t="s">
        <v>130</v>
      </c>
      <c r="AP125" t="s">
        <v>300</v>
      </c>
      <c r="AQ125" t="s">
        <v>129</v>
      </c>
      <c r="AR125" t="s">
        <v>299</v>
      </c>
      <c r="AS125" t="s">
        <v>128</v>
      </c>
      <c r="AT125" t="s">
        <v>334</v>
      </c>
    </row>
    <row r="126" spans="1:46" x14ac:dyDescent="0.45">
      <c r="A126" s="32" t="s">
        <v>0</v>
      </c>
      <c r="B126" s="33"/>
      <c r="C126" s="18"/>
      <c r="D126" s="18"/>
      <c r="E126" s="18"/>
      <c r="F126" s="18"/>
      <c r="G126" s="18"/>
      <c r="H126" s="18"/>
      <c r="I126" s="18"/>
      <c r="J126" s="18"/>
      <c r="K126" s="18"/>
      <c r="L126" s="18"/>
      <c r="M126" s="18"/>
      <c r="N126" s="18"/>
      <c r="O126" s="18"/>
      <c r="P126" s="18"/>
      <c r="Q126" s="33" t="s">
        <v>289</v>
      </c>
    </row>
    <row r="127" spans="1:46" x14ac:dyDescent="0.4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4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4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4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4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4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45">
      <c r="A133" s="2">
        <v>7</v>
      </c>
      <c r="B133" s="2"/>
      <c r="C133" s="2"/>
      <c r="D133" s="2"/>
      <c r="E133" s="2"/>
      <c r="F133" s="2"/>
      <c r="G133" s="2"/>
      <c r="H133" s="2"/>
      <c r="I133" s="2"/>
      <c r="J133" s="2"/>
      <c r="K133" s="2"/>
      <c r="L133" s="2"/>
      <c r="M133" s="2"/>
      <c r="N133" s="2"/>
      <c r="O133" s="2"/>
      <c r="P133" s="2"/>
      <c r="Q133" s="2"/>
      <c r="S133" s="46"/>
      <c r="T133" s="46"/>
      <c r="U133" s="70"/>
    </row>
    <row r="134" spans="1:22" x14ac:dyDescent="0.4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4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4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4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45">
      <c r="S138" s="5" t="s">
        <v>42</v>
      </c>
      <c r="T138" s="5">
        <v>2.85</v>
      </c>
      <c r="U138" s="5" t="s">
        <v>44</v>
      </c>
    </row>
    <row r="139" spans="1:22" x14ac:dyDescent="0.45">
      <c r="S139" s="5" t="s">
        <v>46</v>
      </c>
      <c r="T139" s="5" t="s">
        <v>82</v>
      </c>
      <c r="U139" s="5" t="s">
        <v>90</v>
      </c>
    </row>
    <row r="140" spans="1:22" x14ac:dyDescent="0.45">
      <c r="S140" s="5" t="s">
        <v>108</v>
      </c>
      <c r="T140" s="5" t="s">
        <v>153</v>
      </c>
      <c r="U140" s="5"/>
    </row>
    <row r="141" spans="1:22" x14ac:dyDescent="0.45">
      <c r="S141" s="5" t="s">
        <v>152</v>
      </c>
      <c r="T141" s="5" t="s">
        <v>125</v>
      </c>
      <c r="U141" s="5"/>
    </row>
    <row r="142" spans="1:22" x14ac:dyDescent="0.45">
      <c r="S142" s="5" t="s">
        <v>167</v>
      </c>
      <c r="T142" s="5">
        <v>20</v>
      </c>
      <c r="U142" s="5" t="s">
        <v>44</v>
      </c>
    </row>
    <row r="143" spans="1:22" x14ac:dyDescent="0.45">
      <c r="S143" s="5" t="s">
        <v>168</v>
      </c>
      <c r="T143" s="5">
        <v>10</v>
      </c>
      <c r="U143" s="5" t="s">
        <v>44</v>
      </c>
    </row>
    <row r="144" spans="1:22" x14ac:dyDescent="0.45">
      <c r="S144" s="5" t="s">
        <v>169</v>
      </c>
      <c r="T144" s="5">
        <v>0.3</v>
      </c>
      <c r="U144" s="5" t="s">
        <v>44</v>
      </c>
    </row>
    <row r="145" spans="1:46" x14ac:dyDescent="0.45">
      <c r="S145" s="62" t="s">
        <v>339</v>
      </c>
      <c r="T145" s="5">
        <v>0</v>
      </c>
      <c r="U145" s="5"/>
      <c r="V145" s="1"/>
    </row>
    <row r="146" spans="1:46" x14ac:dyDescent="0.45">
      <c r="S146" s="5" t="s">
        <v>154</v>
      </c>
      <c r="T146" s="5" t="s">
        <v>166</v>
      </c>
      <c r="U146" s="5" t="s">
        <v>158</v>
      </c>
    </row>
    <row r="147" spans="1:46" x14ac:dyDescent="0.45">
      <c r="S147" s="5" t="s">
        <v>159</v>
      </c>
      <c r="T147" s="5">
        <v>5</v>
      </c>
      <c r="U147" s="5" t="s">
        <v>44</v>
      </c>
      <c r="V147" s="1"/>
    </row>
    <row r="148" spans="1:46" x14ac:dyDescent="0.45">
      <c r="S148" s="5" t="s">
        <v>160</v>
      </c>
      <c r="T148" s="5">
        <v>7</v>
      </c>
      <c r="U148" s="5" t="s">
        <v>90</v>
      </c>
    </row>
    <row r="149" spans="1:46" x14ac:dyDescent="0.45">
      <c r="S149" s="5" t="s">
        <v>161</v>
      </c>
      <c r="T149" s="5">
        <v>2500</v>
      </c>
      <c r="U149" s="5" t="s">
        <v>45</v>
      </c>
    </row>
    <row r="150" spans="1:46" x14ac:dyDescent="0.45">
      <c r="S150" s="5" t="s">
        <v>162</v>
      </c>
      <c r="T150" s="5">
        <f>-T148</f>
        <v>-7</v>
      </c>
      <c r="U150" s="5" t="s">
        <v>90</v>
      </c>
    </row>
    <row r="151" spans="1:46" x14ac:dyDescent="0.45">
      <c r="S151" s="3" t="s">
        <v>163</v>
      </c>
      <c r="T151" s="3">
        <f>T149</f>
        <v>2500</v>
      </c>
      <c r="U151" s="5" t="s">
        <v>45</v>
      </c>
    </row>
    <row r="152" spans="1:46" x14ac:dyDescent="0.45">
      <c r="S152" s="3" t="s">
        <v>164</v>
      </c>
      <c r="T152" s="3">
        <v>0.2</v>
      </c>
      <c r="U152" s="5" t="s">
        <v>44</v>
      </c>
    </row>
    <row r="153" spans="1:46" x14ac:dyDescent="0.45">
      <c r="S153" s="3" t="s">
        <v>165</v>
      </c>
      <c r="T153" s="3">
        <v>7500</v>
      </c>
      <c r="U153" s="5" t="s">
        <v>45</v>
      </c>
    </row>
    <row r="155" spans="1:46" x14ac:dyDescent="0.45">
      <c r="S155" s="75" t="s">
        <v>292</v>
      </c>
      <c r="T155" s="75" t="s">
        <v>293</v>
      </c>
      <c r="U155" s="76" t="s">
        <v>331</v>
      </c>
    </row>
    <row r="156" spans="1:46" x14ac:dyDescent="0.45">
      <c r="S156" s="59"/>
      <c r="T156" s="59"/>
      <c r="U156" s="71"/>
    </row>
    <row r="157" spans="1:46" x14ac:dyDescent="0.45">
      <c r="S157" s="59" t="s">
        <v>295</v>
      </c>
      <c r="T157" s="59">
        <v>12</v>
      </c>
      <c r="U157" s="71" t="s">
        <v>89</v>
      </c>
    </row>
    <row r="158" spans="1:46" x14ac:dyDescent="0.45">
      <c r="S158" s="59" t="s">
        <v>298</v>
      </c>
      <c r="T158" s="59">
        <v>100</v>
      </c>
      <c r="U158" s="71" t="s">
        <v>89</v>
      </c>
    </row>
    <row r="160" spans="1:46" x14ac:dyDescent="0.45">
      <c r="A160" s="33" t="s">
        <v>129</v>
      </c>
      <c r="B160" s="2" t="s">
        <v>303</v>
      </c>
      <c r="C160" s="33" t="s">
        <v>128</v>
      </c>
      <c r="D160" s="2" t="s">
        <v>334</v>
      </c>
      <c r="AO160" t="s">
        <v>130</v>
      </c>
      <c r="AP160" t="s">
        <v>304</v>
      </c>
      <c r="AQ160" t="s">
        <v>129</v>
      </c>
      <c r="AR160" t="s">
        <v>303</v>
      </c>
      <c r="AS160" t="s">
        <v>128</v>
      </c>
      <c r="AT160" t="s">
        <v>334</v>
      </c>
    </row>
    <row r="161" spans="1:22" x14ac:dyDescent="0.45">
      <c r="A161" s="32" t="s">
        <v>0</v>
      </c>
      <c r="B161" s="33"/>
      <c r="C161" s="18"/>
      <c r="D161" s="18"/>
      <c r="E161" s="18"/>
      <c r="F161" s="18"/>
      <c r="G161" s="18"/>
      <c r="H161" s="18"/>
      <c r="I161" s="18"/>
      <c r="J161" s="18"/>
      <c r="K161" s="18"/>
      <c r="L161" s="18"/>
      <c r="M161" s="18"/>
      <c r="N161" s="18"/>
      <c r="O161" s="18"/>
      <c r="P161" s="18"/>
      <c r="Q161" s="33" t="s">
        <v>289</v>
      </c>
    </row>
    <row r="162" spans="1:22" x14ac:dyDescent="0.4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4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4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4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4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4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45">
      <c r="A168" s="2">
        <v>7</v>
      </c>
      <c r="B168" s="2"/>
      <c r="C168" s="2"/>
      <c r="D168" s="2"/>
      <c r="E168" s="2"/>
      <c r="F168" s="2"/>
      <c r="G168" s="2"/>
      <c r="H168" s="2"/>
      <c r="I168" s="2"/>
      <c r="J168" s="2"/>
      <c r="K168" s="2"/>
      <c r="L168" s="2"/>
      <c r="M168" s="2"/>
      <c r="N168" s="2"/>
      <c r="O168" s="2"/>
      <c r="P168" s="2"/>
      <c r="Q168" s="2"/>
      <c r="S168" s="46"/>
      <c r="T168" s="46"/>
      <c r="U168" s="70"/>
    </row>
    <row r="169" spans="1:22" x14ac:dyDescent="0.4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4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4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4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45">
      <c r="S173" s="5" t="s">
        <v>42</v>
      </c>
      <c r="T173" s="5">
        <v>2.85</v>
      </c>
      <c r="U173" s="5" t="s">
        <v>44</v>
      </c>
    </row>
    <row r="174" spans="1:22" x14ac:dyDescent="0.45">
      <c r="S174" s="5" t="s">
        <v>46</v>
      </c>
      <c r="T174" s="5" t="s">
        <v>82</v>
      </c>
      <c r="U174" s="5" t="s">
        <v>90</v>
      </c>
    </row>
    <row r="175" spans="1:22" x14ac:dyDescent="0.45">
      <c r="S175" s="5" t="s">
        <v>108</v>
      </c>
      <c r="T175" s="5" t="s">
        <v>153</v>
      </c>
      <c r="U175" s="5"/>
    </row>
    <row r="176" spans="1:22" x14ac:dyDescent="0.45">
      <c r="S176" s="5" t="s">
        <v>152</v>
      </c>
      <c r="T176" s="5" t="s">
        <v>125</v>
      </c>
      <c r="U176" s="5"/>
    </row>
    <row r="177" spans="19:22" x14ac:dyDescent="0.45">
      <c r="S177" s="5" t="s">
        <v>167</v>
      </c>
      <c r="T177" s="5">
        <v>20</v>
      </c>
      <c r="U177" s="5" t="s">
        <v>44</v>
      </c>
    </row>
    <row r="178" spans="19:22" x14ac:dyDescent="0.45">
      <c r="S178" s="5" t="s">
        <v>168</v>
      </c>
      <c r="T178" s="5">
        <v>10</v>
      </c>
      <c r="U178" s="5" t="s">
        <v>44</v>
      </c>
    </row>
    <row r="179" spans="19:22" x14ac:dyDescent="0.45">
      <c r="S179" s="5" t="s">
        <v>169</v>
      </c>
      <c r="T179" s="5">
        <v>0.3</v>
      </c>
      <c r="U179" s="5" t="s">
        <v>44</v>
      </c>
    </row>
    <row r="180" spans="19:22" x14ac:dyDescent="0.45">
      <c r="S180" s="62" t="s">
        <v>339</v>
      </c>
      <c r="T180" s="5">
        <v>0</v>
      </c>
      <c r="U180" s="5"/>
      <c r="V180" s="1"/>
    </row>
    <row r="181" spans="19:22" x14ac:dyDescent="0.45">
      <c r="S181" s="5" t="s">
        <v>154</v>
      </c>
      <c r="T181" s="5" t="s">
        <v>166</v>
      </c>
      <c r="U181" s="5" t="s">
        <v>158</v>
      </c>
    </row>
    <row r="182" spans="19:22" x14ac:dyDescent="0.45">
      <c r="S182" s="5" t="s">
        <v>159</v>
      </c>
      <c r="T182" s="5">
        <v>5</v>
      </c>
      <c r="U182" s="5" t="s">
        <v>44</v>
      </c>
      <c r="V182" s="1"/>
    </row>
    <row r="183" spans="19:22" x14ac:dyDescent="0.45">
      <c r="S183" s="5" t="s">
        <v>160</v>
      </c>
      <c r="T183" s="5">
        <v>7</v>
      </c>
      <c r="U183" s="5" t="s">
        <v>90</v>
      </c>
    </row>
    <row r="184" spans="19:22" x14ac:dyDescent="0.45">
      <c r="S184" s="5" t="s">
        <v>161</v>
      </c>
      <c r="T184" s="5">
        <v>2500</v>
      </c>
      <c r="U184" s="5" t="s">
        <v>45</v>
      </c>
    </row>
    <row r="185" spans="19:22" x14ac:dyDescent="0.45">
      <c r="S185" s="5" t="s">
        <v>162</v>
      </c>
      <c r="T185" s="5">
        <f>-T183</f>
        <v>-7</v>
      </c>
      <c r="U185" s="5" t="s">
        <v>90</v>
      </c>
    </row>
    <row r="186" spans="19:22" x14ac:dyDescent="0.45">
      <c r="S186" s="3" t="s">
        <v>163</v>
      </c>
      <c r="T186" s="3">
        <f>T184</f>
        <v>2500</v>
      </c>
      <c r="U186" s="5" t="s">
        <v>45</v>
      </c>
    </row>
    <row r="187" spans="19:22" x14ac:dyDescent="0.45">
      <c r="S187" s="3" t="s">
        <v>164</v>
      </c>
      <c r="T187" s="3">
        <v>0.2</v>
      </c>
      <c r="U187" s="5" t="s">
        <v>44</v>
      </c>
    </row>
    <row r="188" spans="19:22" x14ac:dyDescent="0.45">
      <c r="S188" s="3" t="s">
        <v>165</v>
      </c>
      <c r="T188" s="3">
        <v>7500</v>
      </c>
      <c r="U188" s="5" t="s">
        <v>45</v>
      </c>
    </row>
    <row r="190" spans="19:22" x14ac:dyDescent="0.45">
      <c r="S190" s="75" t="s">
        <v>292</v>
      </c>
      <c r="T190" s="75" t="s">
        <v>293</v>
      </c>
      <c r="U190" s="76" t="s">
        <v>331</v>
      </c>
    </row>
    <row r="191" spans="19:22" x14ac:dyDescent="0.45">
      <c r="S191" s="59"/>
      <c r="T191" s="59"/>
      <c r="U191" s="71"/>
    </row>
    <row r="192" spans="19:22" x14ac:dyDescent="0.45">
      <c r="S192" s="59" t="s">
        <v>271</v>
      </c>
      <c r="T192" s="59">
        <v>50</v>
      </c>
      <c r="U192" s="71" t="s">
        <v>44</v>
      </c>
    </row>
    <row r="193" spans="1:46" x14ac:dyDescent="0.45">
      <c r="S193" s="63" t="s">
        <v>272</v>
      </c>
      <c r="T193" s="63">
        <v>50</v>
      </c>
      <c r="U193" s="71" t="s">
        <v>44</v>
      </c>
    </row>
    <row r="195" spans="1:46" x14ac:dyDescent="0.45">
      <c r="A195" s="33" t="s">
        <v>129</v>
      </c>
      <c r="B195" s="2" t="s">
        <v>305</v>
      </c>
      <c r="C195" s="33" t="s">
        <v>128</v>
      </c>
      <c r="D195" s="2" t="s">
        <v>334</v>
      </c>
      <c r="AO195" t="s">
        <v>130</v>
      </c>
      <c r="AP195" t="s">
        <v>306</v>
      </c>
      <c r="AQ195" t="s">
        <v>129</v>
      </c>
      <c r="AR195" t="s">
        <v>305</v>
      </c>
      <c r="AS195" t="s">
        <v>128</v>
      </c>
      <c r="AT195" t="s">
        <v>334</v>
      </c>
    </row>
    <row r="196" spans="1:46" x14ac:dyDescent="0.45">
      <c r="A196" s="32" t="s">
        <v>0</v>
      </c>
      <c r="B196" s="33"/>
      <c r="C196" s="18"/>
      <c r="D196" s="18"/>
      <c r="E196" s="18"/>
      <c r="F196" s="18"/>
      <c r="G196" s="18"/>
      <c r="H196" s="18"/>
      <c r="I196" s="18"/>
      <c r="J196" s="18"/>
      <c r="K196" s="18"/>
      <c r="L196" s="18"/>
      <c r="M196" s="18"/>
      <c r="N196" s="18"/>
      <c r="O196" s="18"/>
      <c r="P196" s="18"/>
      <c r="Q196" s="33" t="s">
        <v>289</v>
      </c>
    </row>
    <row r="197" spans="1:46" x14ac:dyDescent="0.4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4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4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4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4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4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4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4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4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4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4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45">
      <c r="S208" s="5" t="s">
        <v>42</v>
      </c>
      <c r="T208" s="5">
        <v>2.85</v>
      </c>
      <c r="U208" s="5" t="s">
        <v>44</v>
      </c>
    </row>
    <row r="209" spans="19:22" x14ac:dyDescent="0.45">
      <c r="S209" s="5" t="s">
        <v>46</v>
      </c>
      <c r="T209" s="5" t="s">
        <v>82</v>
      </c>
      <c r="U209" s="5" t="s">
        <v>90</v>
      </c>
    </row>
    <row r="210" spans="19:22" x14ac:dyDescent="0.45">
      <c r="S210" s="5" t="s">
        <v>108</v>
      </c>
      <c r="T210" s="5" t="s">
        <v>153</v>
      </c>
      <c r="U210" s="5"/>
    </row>
    <row r="211" spans="19:22" x14ac:dyDescent="0.45">
      <c r="S211" s="5" t="s">
        <v>152</v>
      </c>
      <c r="T211" s="5" t="s">
        <v>125</v>
      </c>
      <c r="U211" s="5"/>
    </row>
    <row r="212" spans="19:22" x14ac:dyDescent="0.45">
      <c r="S212" s="5" t="s">
        <v>167</v>
      </c>
      <c r="T212" s="5">
        <v>20</v>
      </c>
      <c r="U212" s="5" t="s">
        <v>44</v>
      </c>
    </row>
    <row r="213" spans="19:22" x14ac:dyDescent="0.45">
      <c r="S213" s="5" t="s">
        <v>168</v>
      </c>
      <c r="T213" s="5">
        <v>10</v>
      </c>
      <c r="U213" s="5" t="s">
        <v>44</v>
      </c>
    </row>
    <row r="214" spans="19:22" x14ac:dyDescent="0.45">
      <c r="S214" s="5" t="s">
        <v>169</v>
      </c>
      <c r="T214" s="5">
        <v>0.3</v>
      </c>
      <c r="U214" s="5" t="s">
        <v>44</v>
      </c>
    </row>
    <row r="215" spans="19:22" x14ac:dyDescent="0.45">
      <c r="S215" s="62" t="s">
        <v>339</v>
      </c>
      <c r="T215" s="5">
        <v>0</v>
      </c>
      <c r="U215" s="5"/>
      <c r="V215" s="1"/>
    </row>
    <row r="216" spans="19:22" x14ac:dyDescent="0.45">
      <c r="S216" s="5" t="s">
        <v>154</v>
      </c>
      <c r="T216" s="5" t="s">
        <v>166</v>
      </c>
      <c r="U216" s="5" t="s">
        <v>158</v>
      </c>
    </row>
    <row r="217" spans="19:22" x14ac:dyDescent="0.45">
      <c r="S217" s="5" t="s">
        <v>159</v>
      </c>
      <c r="T217" s="5">
        <v>5</v>
      </c>
      <c r="U217" s="5" t="s">
        <v>44</v>
      </c>
      <c r="V217" s="1"/>
    </row>
    <row r="218" spans="19:22" x14ac:dyDescent="0.45">
      <c r="S218" s="5" t="s">
        <v>160</v>
      </c>
      <c r="T218" s="5">
        <v>7</v>
      </c>
      <c r="U218" s="5" t="s">
        <v>90</v>
      </c>
    </row>
    <row r="219" spans="19:22" x14ac:dyDescent="0.45">
      <c r="S219" s="5" t="s">
        <v>161</v>
      </c>
      <c r="T219" s="5">
        <v>2500</v>
      </c>
      <c r="U219" s="5" t="s">
        <v>45</v>
      </c>
    </row>
    <row r="220" spans="19:22" x14ac:dyDescent="0.45">
      <c r="S220" s="5" t="s">
        <v>162</v>
      </c>
      <c r="T220" s="5">
        <f>-T218</f>
        <v>-7</v>
      </c>
      <c r="U220" s="5" t="s">
        <v>90</v>
      </c>
    </row>
    <row r="221" spans="19:22" x14ac:dyDescent="0.45">
      <c r="S221" s="3" t="s">
        <v>163</v>
      </c>
      <c r="T221" s="3">
        <f>T219</f>
        <v>2500</v>
      </c>
      <c r="U221" s="5" t="s">
        <v>45</v>
      </c>
    </row>
    <row r="222" spans="19:22" x14ac:dyDescent="0.45">
      <c r="S222" s="3" t="s">
        <v>164</v>
      </c>
      <c r="T222" s="3">
        <v>0.2</v>
      </c>
      <c r="U222" s="5" t="s">
        <v>44</v>
      </c>
    </row>
    <row r="223" spans="19:22" x14ac:dyDescent="0.45">
      <c r="S223" s="3" t="s">
        <v>165</v>
      </c>
      <c r="T223" s="3">
        <v>7500</v>
      </c>
      <c r="U223" s="5" t="s">
        <v>45</v>
      </c>
    </row>
    <row r="225" spans="1:46" x14ac:dyDescent="0.45">
      <c r="S225" s="75" t="s">
        <v>292</v>
      </c>
      <c r="T225" s="75" t="s">
        <v>293</v>
      </c>
      <c r="U225" s="76" t="s">
        <v>331</v>
      </c>
    </row>
    <row r="226" spans="1:46" x14ac:dyDescent="0.45">
      <c r="S226" s="59"/>
      <c r="T226" s="59"/>
      <c r="U226" s="71"/>
    </row>
    <row r="227" spans="1:46" x14ac:dyDescent="0.45">
      <c r="S227" s="59" t="s">
        <v>295</v>
      </c>
      <c r="T227" s="59">
        <v>12</v>
      </c>
      <c r="U227" s="71" t="s">
        <v>89</v>
      </c>
    </row>
    <row r="228" spans="1:46" x14ac:dyDescent="0.45">
      <c r="S228" s="59" t="s">
        <v>298</v>
      </c>
      <c r="T228" s="59">
        <v>100</v>
      </c>
      <c r="U228" s="71" t="s">
        <v>89</v>
      </c>
    </row>
    <row r="230" spans="1:46" x14ac:dyDescent="0.45">
      <c r="A230" s="33" t="s">
        <v>129</v>
      </c>
      <c r="B230" s="2" t="s">
        <v>387</v>
      </c>
      <c r="C230" s="33" t="s">
        <v>128</v>
      </c>
      <c r="D230" s="2" t="s">
        <v>334</v>
      </c>
      <c r="AO230" t="s">
        <v>130</v>
      </c>
      <c r="AP230" t="s">
        <v>388</v>
      </c>
      <c r="AQ230" t="s">
        <v>129</v>
      </c>
      <c r="AR230" t="s">
        <v>387</v>
      </c>
      <c r="AS230" t="s">
        <v>128</v>
      </c>
      <c r="AT230" t="s">
        <v>334</v>
      </c>
    </row>
    <row r="231" spans="1:46" x14ac:dyDescent="0.45">
      <c r="A231" s="32" t="s">
        <v>0</v>
      </c>
      <c r="B231" s="33"/>
      <c r="C231" s="18"/>
      <c r="D231" s="18"/>
      <c r="E231" s="18"/>
      <c r="F231" s="18"/>
      <c r="G231" s="18"/>
      <c r="H231" s="18"/>
      <c r="I231" s="18"/>
      <c r="J231" s="18"/>
      <c r="K231" s="18"/>
      <c r="L231" s="18"/>
      <c r="M231" s="18"/>
      <c r="N231" s="18"/>
      <c r="O231" s="18"/>
      <c r="P231" s="18"/>
      <c r="Q231" s="33" t="s">
        <v>289</v>
      </c>
    </row>
    <row r="232" spans="1:46" x14ac:dyDescent="0.45">
      <c r="A232" s="2">
        <v>1</v>
      </c>
      <c r="B232" s="2"/>
      <c r="C232" s="2"/>
      <c r="D232" s="2"/>
      <c r="E232" s="2"/>
      <c r="F232" s="2"/>
      <c r="G232" s="2"/>
      <c r="H232" s="2"/>
      <c r="I232" s="2"/>
      <c r="J232" s="2"/>
      <c r="K232" s="2"/>
      <c r="L232" s="2"/>
      <c r="M232" s="2"/>
      <c r="N232" s="2"/>
      <c r="O232" s="2"/>
      <c r="P232" s="2"/>
      <c r="Q232" s="2"/>
      <c r="S232" s="74" t="s">
        <v>40</v>
      </c>
      <c r="T232" s="3"/>
      <c r="U232" s="5"/>
    </row>
    <row r="233" spans="1:46" x14ac:dyDescent="0.4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4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4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4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4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45">
      <c r="A238" s="2">
        <v>7</v>
      </c>
      <c r="B238" s="2"/>
      <c r="C238" s="2"/>
      <c r="D238" s="2"/>
      <c r="E238" s="2"/>
      <c r="F238" s="2"/>
      <c r="G238" s="2"/>
      <c r="H238" s="2"/>
      <c r="I238" s="2"/>
      <c r="J238" s="2"/>
      <c r="K238" s="2"/>
      <c r="L238" s="2"/>
      <c r="M238" s="2"/>
      <c r="N238" s="2"/>
      <c r="O238" s="2"/>
      <c r="P238" s="2"/>
      <c r="Q238" s="2"/>
      <c r="S238" s="46"/>
      <c r="T238" s="46"/>
      <c r="U238" s="70"/>
    </row>
    <row r="239" spans="1:46" x14ac:dyDescent="0.4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4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4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4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45">
      <c r="S243" s="5" t="s">
        <v>42</v>
      </c>
      <c r="T243" s="5">
        <v>2.85</v>
      </c>
      <c r="U243" s="5" t="s">
        <v>44</v>
      </c>
    </row>
    <row r="244" spans="1:22" x14ac:dyDescent="0.45">
      <c r="S244" s="5" t="s">
        <v>46</v>
      </c>
      <c r="T244" s="5" t="s">
        <v>82</v>
      </c>
      <c r="U244" s="5" t="s">
        <v>90</v>
      </c>
    </row>
    <row r="245" spans="1:22" x14ac:dyDescent="0.45">
      <c r="S245" s="5" t="s">
        <v>108</v>
      </c>
      <c r="T245" s="5" t="s">
        <v>153</v>
      </c>
      <c r="U245" s="5"/>
    </row>
    <row r="246" spans="1:22" x14ac:dyDescent="0.45">
      <c r="S246" s="5" t="s">
        <v>152</v>
      </c>
      <c r="T246" s="5" t="s">
        <v>125</v>
      </c>
      <c r="U246" s="5"/>
    </row>
    <row r="247" spans="1:22" x14ac:dyDescent="0.45">
      <c r="S247" s="5" t="s">
        <v>167</v>
      </c>
      <c r="T247" s="5">
        <v>20</v>
      </c>
      <c r="U247" s="5" t="s">
        <v>44</v>
      </c>
    </row>
    <row r="248" spans="1:22" x14ac:dyDescent="0.45">
      <c r="S248" s="5" t="s">
        <v>168</v>
      </c>
      <c r="T248" s="5">
        <v>10</v>
      </c>
      <c r="U248" s="5" t="s">
        <v>44</v>
      </c>
    </row>
    <row r="249" spans="1:22" x14ac:dyDescent="0.45">
      <c r="S249" s="5" t="s">
        <v>169</v>
      </c>
      <c r="T249" s="5">
        <v>0.3</v>
      </c>
      <c r="U249" s="5" t="s">
        <v>44</v>
      </c>
    </row>
    <row r="250" spans="1:22" x14ac:dyDescent="0.45">
      <c r="S250" s="62" t="s">
        <v>339</v>
      </c>
      <c r="T250" s="5">
        <v>0</v>
      </c>
      <c r="U250" s="5"/>
      <c r="V250" s="1"/>
    </row>
    <row r="251" spans="1:22" x14ac:dyDescent="0.45">
      <c r="S251" s="5" t="s">
        <v>154</v>
      </c>
      <c r="T251" s="5" t="s">
        <v>166</v>
      </c>
      <c r="U251" s="5" t="s">
        <v>158</v>
      </c>
    </row>
    <row r="252" spans="1:22" x14ac:dyDescent="0.45">
      <c r="S252" s="5" t="s">
        <v>159</v>
      </c>
      <c r="T252" s="5">
        <v>5</v>
      </c>
      <c r="U252" s="5" t="s">
        <v>44</v>
      </c>
      <c r="V252" s="1"/>
    </row>
    <row r="253" spans="1:22" x14ac:dyDescent="0.45">
      <c r="S253" s="5" t="s">
        <v>160</v>
      </c>
      <c r="T253" s="5">
        <v>7</v>
      </c>
      <c r="U253" s="5" t="s">
        <v>90</v>
      </c>
    </row>
    <row r="254" spans="1:22" x14ac:dyDescent="0.45">
      <c r="S254" s="5" t="s">
        <v>161</v>
      </c>
      <c r="T254" s="5">
        <v>2500</v>
      </c>
      <c r="U254" s="5" t="s">
        <v>45</v>
      </c>
    </row>
    <row r="255" spans="1:22" x14ac:dyDescent="0.45">
      <c r="S255" s="5" t="s">
        <v>162</v>
      </c>
      <c r="T255" s="5">
        <f>-T253</f>
        <v>-7</v>
      </c>
      <c r="U255" s="5" t="s">
        <v>90</v>
      </c>
    </row>
    <row r="256" spans="1:22" x14ac:dyDescent="0.45">
      <c r="S256" s="3" t="s">
        <v>163</v>
      </c>
      <c r="T256" s="3">
        <f>T254</f>
        <v>2500</v>
      </c>
      <c r="U256" s="5" t="s">
        <v>45</v>
      </c>
    </row>
    <row r="257" spans="19:21" x14ac:dyDescent="0.45">
      <c r="S257" s="3" t="s">
        <v>164</v>
      </c>
      <c r="T257" s="3">
        <v>0.2</v>
      </c>
      <c r="U257" s="5" t="s">
        <v>44</v>
      </c>
    </row>
    <row r="258" spans="19:21" x14ac:dyDescent="0.45">
      <c r="S258" s="3" t="s">
        <v>165</v>
      </c>
      <c r="T258" s="3">
        <v>7500</v>
      </c>
      <c r="U258" s="5" t="s">
        <v>45</v>
      </c>
    </row>
    <row r="260" spans="19:21" x14ac:dyDescent="0.45">
      <c r="S260" s="75" t="s">
        <v>292</v>
      </c>
      <c r="T260" s="75" t="s">
        <v>293</v>
      </c>
      <c r="U260" s="76" t="s">
        <v>331</v>
      </c>
    </row>
    <row r="261" spans="19:21" x14ac:dyDescent="0.45">
      <c r="S261" s="59"/>
      <c r="T261" s="59"/>
      <c r="U261" s="71"/>
    </row>
    <row r="262" spans="19:21" x14ac:dyDescent="0.45">
      <c r="S262" s="59" t="s">
        <v>309</v>
      </c>
      <c r="T262" s="59">
        <v>0.2</v>
      </c>
      <c r="U262" s="71" t="s">
        <v>44</v>
      </c>
    </row>
    <row r="263" spans="19:21" x14ac:dyDescent="0.45">
      <c r="S263" s="59" t="s">
        <v>307</v>
      </c>
      <c r="T263" s="59">
        <v>1</v>
      </c>
      <c r="U263" s="71" t="s">
        <v>44</v>
      </c>
    </row>
    <row r="264" spans="19:21" x14ac:dyDescent="0.4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328125" defaultRowHeight="16.350000000000001" customHeight="1" x14ac:dyDescent="0.45"/>
  <cols>
    <col min="1" max="2" width="23" style="55" customWidth="1"/>
    <col min="3" max="3" width="19" style="48" customWidth="1"/>
    <col min="4" max="4" width="9.1328125" style="48"/>
    <col min="5" max="5" width="16.73046875" style="48" customWidth="1"/>
    <col min="6" max="16384" width="9.1328125" style="48"/>
  </cols>
  <sheetData>
    <row r="1" spans="1:17" ht="16.350000000000001" customHeight="1" x14ac:dyDescent="0.45">
      <c r="A1" s="55" t="s">
        <v>266</v>
      </c>
      <c r="B1" s="55" t="s">
        <v>269</v>
      </c>
      <c r="C1" s="55" t="s">
        <v>267</v>
      </c>
      <c r="D1" s="48" t="s">
        <v>268</v>
      </c>
    </row>
    <row r="2" spans="1:17" ht="16.350000000000001" customHeight="1" x14ac:dyDescent="0.45">
      <c r="A2" s="55">
        <v>1</v>
      </c>
      <c r="B2" s="55">
        <v>1</v>
      </c>
      <c r="C2" s="48">
        <v>1</v>
      </c>
      <c r="D2" s="48" t="s">
        <v>1</v>
      </c>
      <c r="E2" s="48" t="s">
        <v>18</v>
      </c>
      <c r="F2" s="48">
        <v>100</v>
      </c>
      <c r="G2" s="48">
        <v>155</v>
      </c>
      <c r="H2" s="48">
        <v>0</v>
      </c>
      <c r="I2" s="48" t="s">
        <v>764</v>
      </c>
      <c r="J2" s="48" t="s">
        <v>100</v>
      </c>
      <c r="K2" s="48" t="s">
        <v>100</v>
      </c>
      <c r="L2" s="48" t="s">
        <v>19</v>
      </c>
      <c r="M2" s="48">
        <v>3.75</v>
      </c>
      <c r="N2" s="48">
        <v>2.8</v>
      </c>
      <c r="Q2" s="56"/>
    </row>
    <row r="3" spans="1:17" ht="16.350000000000001" customHeight="1" x14ac:dyDescent="0.4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45">
      <c r="A4" s="55">
        <v>3</v>
      </c>
      <c r="B4" s="55">
        <v>3</v>
      </c>
      <c r="C4" s="48">
        <v>3</v>
      </c>
      <c r="D4" s="48" t="s">
        <v>1</v>
      </c>
      <c r="E4" s="48" t="s">
        <v>18</v>
      </c>
      <c r="F4" s="48" t="s">
        <v>100</v>
      </c>
      <c r="G4" s="48" t="s">
        <v>100</v>
      </c>
      <c r="H4" s="48" t="s">
        <v>100</v>
      </c>
      <c r="I4" s="48" t="s">
        <v>743</v>
      </c>
      <c r="J4" s="48" t="s">
        <v>100</v>
      </c>
      <c r="K4" s="48" t="s">
        <v>100</v>
      </c>
      <c r="L4" s="48" t="s">
        <v>19</v>
      </c>
      <c r="M4" s="48">
        <v>3.75</v>
      </c>
      <c r="N4" s="48">
        <v>2.8</v>
      </c>
      <c r="Q4" s="56"/>
    </row>
    <row r="5" spans="1:17" ht="16.350000000000001" customHeight="1" x14ac:dyDescent="0.45">
      <c r="A5" s="55">
        <v>4</v>
      </c>
      <c r="B5" s="55">
        <v>4</v>
      </c>
      <c r="C5" s="48">
        <v>4</v>
      </c>
      <c r="D5" s="48" t="s">
        <v>1</v>
      </c>
      <c r="E5" s="48" t="s">
        <v>18</v>
      </c>
      <c r="F5" s="48" t="s">
        <v>100</v>
      </c>
      <c r="G5" s="48" t="s">
        <v>100</v>
      </c>
      <c r="H5" s="48" t="s">
        <v>100</v>
      </c>
      <c r="I5" s="48" t="s">
        <v>100</v>
      </c>
      <c r="J5" s="48" t="s">
        <v>744</v>
      </c>
      <c r="K5" s="48" t="s">
        <v>100</v>
      </c>
      <c r="L5" s="48" t="s">
        <v>19</v>
      </c>
      <c r="M5" s="48">
        <v>3.75</v>
      </c>
      <c r="N5" s="48">
        <v>2.8</v>
      </c>
      <c r="P5" s="56"/>
      <c r="Q5" s="56"/>
    </row>
    <row r="6" spans="1:17" ht="16.350000000000001" customHeight="1" x14ac:dyDescent="0.45">
      <c r="A6" s="55">
        <v>5</v>
      </c>
      <c r="B6" s="55">
        <v>5</v>
      </c>
      <c r="C6" s="48">
        <v>5</v>
      </c>
      <c r="D6" s="48" t="s">
        <v>1</v>
      </c>
      <c r="E6" s="48" t="s">
        <v>18</v>
      </c>
      <c r="F6" s="48" t="s">
        <v>100</v>
      </c>
      <c r="G6" s="48" t="s">
        <v>100</v>
      </c>
      <c r="H6" s="48" t="s">
        <v>100</v>
      </c>
      <c r="I6" s="48" t="s">
        <v>697</v>
      </c>
      <c r="J6" s="48" t="s">
        <v>100</v>
      </c>
      <c r="K6" s="48" t="s">
        <v>100</v>
      </c>
      <c r="L6" s="48" t="s">
        <v>19</v>
      </c>
      <c r="M6" s="48">
        <v>3.75</v>
      </c>
      <c r="N6" s="48">
        <v>2.8</v>
      </c>
      <c r="Q6" s="56"/>
    </row>
    <row r="7" spans="1:17" ht="16.350000000000001" customHeight="1" x14ac:dyDescent="0.45">
      <c r="A7" s="55">
        <v>6</v>
      </c>
      <c r="B7" s="55">
        <v>6</v>
      </c>
      <c r="C7" s="48">
        <v>6</v>
      </c>
      <c r="D7" s="48" t="s">
        <v>1</v>
      </c>
      <c r="E7" s="48" t="s">
        <v>18</v>
      </c>
      <c r="F7" s="48" t="s">
        <v>100</v>
      </c>
      <c r="G7" s="48" t="s">
        <v>100</v>
      </c>
      <c r="H7" s="48" t="s">
        <v>100</v>
      </c>
      <c r="I7" s="48" t="s">
        <v>100</v>
      </c>
      <c r="J7" s="48" t="s">
        <v>745</v>
      </c>
      <c r="K7" s="48" t="s">
        <v>100</v>
      </c>
      <c r="L7" s="48" t="s">
        <v>19</v>
      </c>
      <c r="M7" s="48">
        <v>3.75</v>
      </c>
      <c r="N7" s="48">
        <v>2.8</v>
      </c>
      <c r="P7" s="56"/>
      <c r="Q7" s="56"/>
    </row>
    <row r="8" spans="1:17" ht="16.350000000000001" customHeight="1" x14ac:dyDescent="0.45">
      <c r="A8" s="55">
        <v>7</v>
      </c>
      <c r="B8" s="55">
        <v>7</v>
      </c>
      <c r="C8" s="48">
        <v>7</v>
      </c>
      <c r="D8" s="48" t="s">
        <v>55</v>
      </c>
      <c r="E8" s="48" t="s">
        <v>746</v>
      </c>
      <c r="F8" s="48">
        <v>0</v>
      </c>
      <c r="G8" s="48">
        <v>-16.399999999999999</v>
      </c>
      <c r="H8" s="48">
        <v>0</v>
      </c>
      <c r="I8" s="48">
        <v>1</v>
      </c>
      <c r="Q8" s="56"/>
    </row>
    <row r="9" spans="1:17" ht="16.350000000000001" customHeight="1" x14ac:dyDescent="0.45">
      <c r="A9" s="55">
        <v>8</v>
      </c>
      <c r="B9" s="55">
        <v>8</v>
      </c>
      <c r="C9" s="48">
        <v>8</v>
      </c>
      <c r="D9" s="48" t="s">
        <v>39</v>
      </c>
      <c r="E9" s="48">
        <v>0.35</v>
      </c>
      <c r="F9" s="48">
        <v>60</v>
      </c>
      <c r="G9" s="48">
        <v>4</v>
      </c>
      <c r="H9" s="48">
        <v>5000</v>
      </c>
      <c r="P9" s="56"/>
      <c r="Q9" s="56"/>
    </row>
    <row r="10" spans="1:17" ht="16.350000000000001" customHeight="1" x14ac:dyDescent="0.45">
      <c r="A10" s="55">
        <v>9</v>
      </c>
      <c r="B10" s="55">
        <v>9</v>
      </c>
      <c r="C10" s="48">
        <v>9</v>
      </c>
      <c r="D10" s="48" t="s">
        <v>49</v>
      </c>
      <c r="E10" s="48" t="s">
        <v>203</v>
      </c>
      <c r="F10" s="48">
        <v>3</v>
      </c>
      <c r="Q10" s="56"/>
    </row>
    <row r="11" spans="1:17" ht="16.350000000000001" customHeight="1" x14ac:dyDescent="0.45">
      <c r="A11" s="55">
        <v>10</v>
      </c>
      <c r="B11" s="55">
        <v>10</v>
      </c>
      <c r="C11" s="48">
        <v>10</v>
      </c>
      <c r="D11" s="48" t="s">
        <v>1</v>
      </c>
      <c r="E11" s="48" t="s">
        <v>18</v>
      </c>
      <c r="F11" s="48">
        <v>140</v>
      </c>
      <c r="G11" s="48">
        <v>140</v>
      </c>
      <c r="H11" s="48">
        <v>1E-10</v>
      </c>
      <c r="I11" s="48" t="s">
        <v>100</v>
      </c>
      <c r="J11" s="48" t="s">
        <v>747</v>
      </c>
      <c r="K11" s="48" t="s">
        <v>100</v>
      </c>
      <c r="L11" s="48" t="s">
        <v>19</v>
      </c>
      <c r="M11" s="48">
        <v>3.75</v>
      </c>
      <c r="N11" s="48">
        <v>2.8</v>
      </c>
      <c r="P11" s="56"/>
      <c r="Q11" s="56"/>
    </row>
    <row r="12" spans="1:17" ht="16.350000000000001" customHeight="1" x14ac:dyDescent="0.45">
      <c r="A12" s="55">
        <v>11</v>
      </c>
      <c r="B12" s="55">
        <v>11</v>
      </c>
      <c r="C12" s="48">
        <v>11</v>
      </c>
      <c r="D12" s="48" t="s">
        <v>1</v>
      </c>
      <c r="E12" s="48" t="s">
        <v>18</v>
      </c>
      <c r="F12" s="48" t="s">
        <v>100</v>
      </c>
      <c r="G12" s="48" t="s">
        <v>100</v>
      </c>
      <c r="H12" s="48" t="s">
        <v>100</v>
      </c>
      <c r="I12" s="48" t="s">
        <v>697</v>
      </c>
      <c r="J12" s="48" t="s">
        <v>100</v>
      </c>
      <c r="K12" s="48" t="s">
        <v>100</v>
      </c>
      <c r="L12" s="48" t="s">
        <v>19</v>
      </c>
      <c r="M12" s="48">
        <v>3.75</v>
      </c>
      <c r="N12" s="48">
        <v>2.8</v>
      </c>
      <c r="Q12" s="56"/>
    </row>
    <row r="13" spans="1:17" ht="16.350000000000001" customHeight="1" x14ac:dyDescent="0.45">
      <c r="A13" s="55">
        <v>12</v>
      </c>
      <c r="B13" s="55">
        <v>12</v>
      </c>
      <c r="C13" s="48">
        <v>12</v>
      </c>
      <c r="D13" s="48" t="s">
        <v>1</v>
      </c>
      <c r="E13" s="48" t="s">
        <v>18</v>
      </c>
      <c r="F13" s="48" t="s">
        <v>100</v>
      </c>
      <c r="G13" s="48" t="s">
        <v>100</v>
      </c>
      <c r="H13" s="48" t="s">
        <v>100</v>
      </c>
      <c r="I13" s="48" t="s">
        <v>100</v>
      </c>
      <c r="J13" s="48" t="s">
        <v>748</v>
      </c>
      <c r="K13" s="48" t="s">
        <v>100</v>
      </c>
      <c r="L13" s="48" t="s">
        <v>19</v>
      </c>
      <c r="M13" s="48">
        <v>3.75</v>
      </c>
      <c r="N13" s="48">
        <v>2.8</v>
      </c>
      <c r="P13" s="56"/>
      <c r="Q13" s="56"/>
    </row>
    <row r="14" spans="1:17" ht="16.350000000000001" customHeight="1" x14ac:dyDescent="0.45">
      <c r="A14" s="55">
        <v>13</v>
      </c>
      <c r="B14" s="55">
        <v>13</v>
      </c>
      <c r="C14" s="48">
        <v>13</v>
      </c>
      <c r="D14" s="48" t="s">
        <v>1</v>
      </c>
      <c r="E14" s="48" t="s">
        <v>18</v>
      </c>
      <c r="F14" s="48" t="s">
        <v>100</v>
      </c>
      <c r="G14" s="48" t="s">
        <v>100</v>
      </c>
      <c r="H14" s="48" t="s">
        <v>100</v>
      </c>
      <c r="I14" s="48" t="s">
        <v>743</v>
      </c>
      <c r="J14" s="48" t="s">
        <v>100</v>
      </c>
      <c r="K14" s="48" t="s">
        <v>100</v>
      </c>
      <c r="L14" s="48" t="s">
        <v>19</v>
      </c>
      <c r="M14" s="48">
        <v>3.75</v>
      </c>
      <c r="N14" s="48">
        <v>2.8</v>
      </c>
      <c r="Q14" s="56"/>
    </row>
    <row r="15" spans="1:17" ht="16.350000000000001" customHeight="1" x14ac:dyDescent="0.45">
      <c r="A15" s="55">
        <v>14</v>
      </c>
      <c r="B15" s="55">
        <v>14</v>
      </c>
      <c r="C15" s="48">
        <v>14</v>
      </c>
      <c r="D15" s="48" t="s">
        <v>55</v>
      </c>
      <c r="E15" s="48" t="s">
        <v>749</v>
      </c>
      <c r="F15" s="48">
        <v>0</v>
      </c>
      <c r="G15" s="48">
        <v>-16.399999999999999</v>
      </c>
      <c r="H15" s="48">
        <v>0</v>
      </c>
      <c r="I15" s="48">
        <v>1</v>
      </c>
      <c r="P15" s="56"/>
      <c r="Q15" s="56"/>
    </row>
    <row r="16" spans="1:17" ht="16.350000000000001" customHeight="1" x14ac:dyDescent="0.45">
      <c r="A16" s="55">
        <v>15</v>
      </c>
      <c r="B16" s="55">
        <v>15</v>
      </c>
      <c r="C16" s="48">
        <v>15</v>
      </c>
      <c r="D16" s="48" t="s">
        <v>39</v>
      </c>
      <c r="E16" s="48">
        <v>0</v>
      </c>
      <c r="F16" s="48">
        <v>0</v>
      </c>
      <c r="G16" s="48">
        <v>2</v>
      </c>
      <c r="H16" s="48">
        <v>5000</v>
      </c>
      <c r="O16" s="56"/>
      <c r="Q16" s="56"/>
    </row>
    <row r="17" spans="1:17" ht="16.350000000000001" customHeight="1" x14ac:dyDescent="0.45">
      <c r="A17" s="55">
        <v>16</v>
      </c>
      <c r="B17" s="55">
        <v>16</v>
      </c>
      <c r="C17" s="48">
        <v>16</v>
      </c>
      <c r="D17" s="48" t="s">
        <v>1</v>
      </c>
      <c r="E17" s="48" t="s">
        <v>18</v>
      </c>
      <c r="F17" s="48" t="s">
        <v>100</v>
      </c>
      <c r="G17" s="48" t="s">
        <v>100</v>
      </c>
      <c r="H17" s="48" t="s">
        <v>100</v>
      </c>
      <c r="I17" s="48" t="s">
        <v>697</v>
      </c>
      <c r="J17" s="48" t="s">
        <v>100</v>
      </c>
      <c r="K17" s="48" t="s">
        <v>100</v>
      </c>
      <c r="L17" s="48" t="s">
        <v>19</v>
      </c>
      <c r="M17" s="48">
        <v>3.75</v>
      </c>
      <c r="N17" s="48">
        <v>2.8</v>
      </c>
      <c r="P17" s="56"/>
      <c r="Q17" s="56"/>
    </row>
    <row r="18" spans="1:17" ht="16.350000000000001" customHeight="1" x14ac:dyDescent="0.45">
      <c r="A18" s="55">
        <v>17</v>
      </c>
      <c r="B18" s="55">
        <v>17</v>
      </c>
      <c r="C18" s="48">
        <v>17</v>
      </c>
      <c r="D18" s="48" t="s">
        <v>1</v>
      </c>
      <c r="E18" s="48" t="s">
        <v>18</v>
      </c>
      <c r="F18" s="48" t="s">
        <v>100</v>
      </c>
      <c r="G18" s="48" t="s">
        <v>100</v>
      </c>
      <c r="H18" s="48" t="s">
        <v>100</v>
      </c>
      <c r="I18" s="48" t="s">
        <v>100</v>
      </c>
      <c r="J18" s="48" t="s">
        <v>750</v>
      </c>
      <c r="K18" s="48" t="s">
        <v>100</v>
      </c>
      <c r="L18" s="48" t="s">
        <v>19</v>
      </c>
      <c r="M18" s="48">
        <v>3.75</v>
      </c>
      <c r="N18" s="48">
        <v>2.8</v>
      </c>
      <c r="Q18" s="56"/>
    </row>
    <row r="19" spans="1:17" ht="16.350000000000001" customHeight="1" x14ac:dyDescent="0.45">
      <c r="A19" s="55">
        <v>18</v>
      </c>
      <c r="B19" s="55">
        <v>18</v>
      </c>
      <c r="C19" s="48">
        <v>18</v>
      </c>
      <c r="D19" s="48" t="s">
        <v>1</v>
      </c>
      <c r="E19" s="48" t="s">
        <v>18</v>
      </c>
      <c r="F19" s="48" t="s">
        <v>100</v>
      </c>
      <c r="G19" s="48" t="s">
        <v>100</v>
      </c>
      <c r="H19" s="48" t="s">
        <v>100</v>
      </c>
      <c r="I19" s="48" t="s">
        <v>743</v>
      </c>
      <c r="J19" s="48" t="s">
        <v>100</v>
      </c>
      <c r="K19" s="48" t="s">
        <v>100</v>
      </c>
      <c r="L19" s="48" t="s">
        <v>19</v>
      </c>
      <c r="M19" s="48">
        <v>3.75</v>
      </c>
      <c r="N19" s="48">
        <v>2.8</v>
      </c>
      <c r="P19" s="56"/>
      <c r="Q19" s="56"/>
    </row>
    <row r="20" spans="1:17" ht="16.350000000000001" customHeight="1" x14ac:dyDescent="0.45">
      <c r="A20" s="55">
        <v>19</v>
      </c>
      <c r="B20" s="55">
        <v>19</v>
      </c>
      <c r="C20" s="48">
        <v>19</v>
      </c>
      <c r="D20" s="48" t="s">
        <v>1</v>
      </c>
      <c r="E20" s="48" t="s">
        <v>18</v>
      </c>
      <c r="F20" s="48" t="s">
        <v>100</v>
      </c>
      <c r="G20" s="48" t="s">
        <v>100</v>
      </c>
      <c r="H20" s="48" t="s">
        <v>100</v>
      </c>
      <c r="I20" s="48" t="s">
        <v>100</v>
      </c>
      <c r="J20" s="48" t="s">
        <v>751</v>
      </c>
      <c r="K20" s="48" t="s">
        <v>100</v>
      </c>
      <c r="L20" s="48" t="s">
        <v>19</v>
      </c>
      <c r="M20" s="48">
        <v>3.75</v>
      </c>
      <c r="N20" s="48">
        <v>2.8</v>
      </c>
      <c r="Q20" s="56"/>
    </row>
    <row r="21" spans="1:17" ht="16.350000000000001" customHeight="1" x14ac:dyDescent="0.45">
      <c r="A21" s="55">
        <v>20</v>
      </c>
      <c r="B21" s="55">
        <v>20</v>
      </c>
      <c r="C21" s="48">
        <v>20</v>
      </c>
      <c r="D21" s="48" t="s">
        <v>55</v>
      </c>
      <c r="E21" s="48" t="s">
        <v>752</v>
      </c>
      <c r="F21" s="48">
        <v>0</v>
      </c>
      <c r="G21" s="48">
        <v>16.399999999999999</v>
      </c>
      <c r="H21" s="48">
        <v>0</v>
      </c>
      <c r="I21" s="48">
        <v>1</v>
      </c>
      <c r="Q21" s="56"/>
    </row>
    <row r="22" spans="1:17" ht="16.350000000000001" customHeight="1" x14ac:dyDescent="0.45">
      <c r="A22" s="55">
        <v>21</v>
      </c>
      <c r="B22" s="55">
        <v>21</v>
      </c>
      <c r="C22" s="48">
        <v>21</v>
      </c>
      <c r="D22" s="48" t="s">
        <v>698</v>
      </c>
      <c r="E22" s="48">
        <v>0.35</v>
      </c>
      <c r="F22" s="48">
        <v>80</v>
      </c>
      <c r="G22" s="48">
        <v>4</v>
      </c>
      <c r="H22" s="48">
        <v>5000</v>
      </c>
      <c r="Q22" s="56"/>
    </row>
    <row r="23" spans="1:17" ht="16.350000000000001" customHeight="1" x14ac:dyDescent="0.45">
      <c r="A23" s="55">
        <v>22</v>
      </c>
      <c r="B23" s="55">
        <v>22</v>
      </c>
      <c r="C23" s="48">
        <v>22</v>
      </c>
      <c r="D23" s="48" t="s">
        <v>49</v>
      </c>
      <c r="E23" s="48" t="s">
        <v>203</v>
      </c>
      <c r="F23" s="48">
        <v>2</v>
      </c>
      <c r="Q23" s="56"/>
    </row>
    <row r="24" spans="1:17" ht="16.350000000000001" customHeight="1" x14ac:dyDescent="0.4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45">
      <c r="A25" s="55">
        <v>24</v>
      </c>
      <c r="B25" s="55">
        <v>24</v>
      </c>
      <c r="C25" s="48">
        <v>24</v>
      </c>
      <c r="D25" s="48" t="s">
        <v>172</v>
      </c>
      <c r="E25" s="48" t="s">
        <v>710</v>
      </c>
      <c r="F25" s="48">
        <v>155</v>
      </c>
      <c r="G25" s="48" t="s">
        <v>702</v>
      </c>
      <c r="H25" s="48">
        <v>0</v>
      </c>
      <c r="I25" s="48">
        <v>1</v>
      </c>
      <c r="J25" s="48">
        <v>1</v>
      </c>
      <c r="K25" s="48">
        <v>3.75</v>
      </c>
      <c r="L25" s="48">
        <v>2.8</v>
      </c>
      <c r="Q25" s="56"/>
    </row>
    <row r="26" spans="1:17" ht="16.350000000000001" customHeight="1" x14ac:dyDescent="0.4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45">
      <c r="A27" s="55">
        <v>26</v>
      </c>
      <c r="B27" s="55">
        <v>26</v>
      </c>
      <c r="C27" s="48">
        <v>26</v>
      </c>
      <c r="D27" s="48" t="s">
        <v>1</v>
      </c>
      <c r="E27" s="48" t="s">
        <v>18</v>
      </c>
      <c r="F27" s="48" t="s">
        <v>100</v>
      </c>
      <c r="G27" s="48" t="s">
        <v>100</v>
      </c>
      <c r="H27" s="48" t="s">
        <v>100</v>
      </c>
      <c r="I27" s="48" t="s">
        <v>743</v>
      </c>
      <c r="J27" s="48" t="s">
        <v>100</v>
      </c>
      <c r="K27" s="48" t="s">
        <v>100</v>
      </c>
      <c r="L27" s="48" t="s">
        <v>19</v>
      </c>
      <c r="M27" s="48">
        <v>3.75</v>
      </c>
      <c r="N27" s="48">
        <v>2.8</v>
      </c>
      <c r="O27" s="56"/>
      <c r="Q27" s="56"/>
    </row>
    <row r="28" spans="1:17" ht="16.350000000000001" customHeight="1" x14ac:dyDescent="0.45">
      <c r="A28" s="55">
        <v>27</v>
      </c>
      <c r="B28" s="55">
        <v>27</v>
      </c>
      <c r="C28" s="48">
        <v>27</v>
      </c>
      <c r="D28" s="48" t="s">
        <v>1</v>
      </c>
      <c r="E28" s="48" t="s">
        <v>18</v>
      </c>
      <c r="F28" s="48" t="s">
        <v>100</v>
      </c>
      <c r="G28" s="48" t="s">
        <v>100</v>
      </c>
      <c r="H28" s="48" t="s">
        <v>100</v>
      </c>
      <c r="I28" s="48" t="s">
        <v>100</v>
      </c>
      <c r="J28" s="48" t="s">
        <v>744</v>
      </c>
      <c r="K28" s="48" t="s">
        <v>100</v>
      </c>
      <c r="L28" s="48" t="s">
        <v>19</v>
      </c>
      <c r="M28" s="48">
        <v>3.75</v>
      </c>
      <c r="N28" s="48">
        <v>2.8</v>
      </c>
      <c r="Q28" s="56"/>
    </row>
    <row r="29" spans="1:17" ht="16.350000000000001" customHeight="1" x14ac:dyDescent="0.45">
      <c r="A29" s="55">
        <v>28</v>
      </c>
      <c r="B29" s="55">
        <v>28</v>
      </c>
      <c r="C29" s="48">
        <v>28</v>
      </c>
      <c r="D29" s="48" t="s">
        <v>1</v>
      </c>
      <c r="E29" s="48" t="s">
        <v>18</v>
      </c>
      <c r="F29" s="48" t="s">
        <v>100</v>
      </c>
      <c r="G29" s="48" t="s">
        <v>100</v>
      </c>
      <c r="H29" s="48" t="s">
        <v>100</v>
      </c>
      <c r="I29" s="48" t="s">
        <v>697</v>
      </c>
      <c r="J29" s="48" t="s">
        <v>100</v>
      </c>
      <c r="K29" s="48" t="s">
        <v>100</v>
      </c>
      <c r="L29" s="48" t="s">
        <v>19</v>
      </c>
      <c r="M29" s="48">
        <v>3.75</v>
      </c>
      <c r="N29" s="48">
        <v>2.8</v>
      </c>
      <c r="Q29" s="56"/>
    </row>
    <row r="30" spans="1:17" ht="16.350000000000001" customHeight="1" x14ac:dyDescent="0.45">
      <c r="A30" s="55">
        <v>29</v>
      </c>
      <c r="B30" s="55">
        <v>29</v>
      </c>
      <c r="C30" s="48">
        <v>29</v>
      </c>
      <c r="D30" s="48" t="s">
        <v>1</v>
      </c>
      <c r="E30" s="48" t="s">
        <v>18</v>
      </c>
      <c r="F30" s="48" t="s">
        <v>100</v>
      </c>
      <c r="G30" s="48" t="s">
        <v>100</v>
      </c>
      <c r="H30" s="48" t="s">
        <v>100</v>
      </c>
      <c r="I30" s="48" t="s">
        <v>100</v>
      </c>
      <c r="J30" s="48" t="s">
        <v>745</v>
      </c>
      <c r="K30" s="48" t="s">
        <v>100</v>
      </c>
      <c r="L30" s="48" t="s">
        <v>19</v>
      </c>
      <c r="M30" s="48">
        <v>3.75</v>
      </c>
      <c r="N30" s="48">
        <v>2.8</v>
      </c>
      <c r="Q30" s="56"/>
    </row>
    <row r="31" spans="1:17" ht="16.350000000000001" customHeight="1" x14ac:dyDescent="0.45">
      <c r="A31" s="55">
        <v>30</v>
      </c>
      <c r="B31" s="55">
        <v>30</v>
      </c>
      <c r="C31" s="48">
        <v>30</v>
      </c>
      <c r="D31" s="48" t="s">
        <v>55</v>
      </c>
      <c r="E31" s="48" t="s">
        <v>769</v>
      </c>
      <c r="F31" s="48">
        <v>0</v>
      </c>
      <c r="G31" s="48">
        <v>-16.399999999999999</v>
      </c>
      <c r="H31" s="48">
        <v>0</v>
      </c>
      <c r="I31" s="48">
        <v>1</v>
      </c>
      <c r="Q31" s="56"/>
    </row>
    <row r="32" spans="1:17" ht="16.350000000000001" customHeight="1" x14ac:dyDescent="0.45">
      <c r="A32" s="55">
        <v>31</v>
      </c>
      <c r="B32" s="55">
        <v>31</v>
      </c>
      <c r="C32" s="48">
        <v>31</v>
      </c>
      <c r="D32" s="48" t="s">
        <v>39</v>
      </c>
      <c r="E32" s="48">
        <v>0</v>
      </c>
      <c r="F32" s="48">
        <v>0</v>
      </c>
      <c r="G32" s="48">
        <v>2</v>
      </c>
      <c r="H32" s="48">
        <v>5000</v>
      </c>
      <c r="Q32" s="56"/>
    </row>
    <row r="33" spans="1:17" ht="16.350000000000001" customHeight="1" x14ac:dyDescent="0.45">
      <c r="A33" s="55">
        <v>32</v>
      </c>
      <c r="B33" s="55">
        <v>32</v>
      </c>
      <c r="C33" s="48">
        <v>32</v>
      </c>
      <c r="D33" s="48" t="s">
        <v>1</v>
      </c>
      <c r="E33" s="48" t="s">
        <v>18</v>
      </c>
      <c r="F33" s="48" t="s">
        <v>100</v>
      </c>
      <c r="G33" s="48" t="s">
        <v>100</v>
      </c>
      <c r="H33" s="48" t="s">
        <v>100</v>
      </c>
      <c r="I33" s="48" t="s">
        <v>100</v>
      </c>
      <c r="J33" s="48" t="s">
        <v>758</v>
      </c>
      <c r="K33" s="48" t="s">
        <v>100</v>
      </c>
      <c r="L33" s="48" t="s">
        <v>19</v>
      </c>
      <c r="M33" s="48">
        <v>3.75</v>
      </c>
      <c r="N33" s="48">
        <v>2.8</v>
      </c>
      <c r="Q33" s="56"/>
    </row>
    <row r="34" spans="1:17" ht="16.350000000000001" customHeight="1" x14ac:dyDescent="0.45">
      <c r="A34" s="55">
        <v>33</v>
      </c>
      <c r="B34" s="55">
        <v>33</v>
      </c>
      <c r="C34" s="48">
        <v>33</v>
      </c>
      <c r="D34" s="48" t="s">
        <v>1</v>
      </c>
      <c r="E34" s="48" t="s">
        <v>18</v>
      </c>
      <c r="F34" s="48" t="s">
        <v>100</v>
      </c>
      <c r="G34" s="48" t="s">
        <v>100</v>
      </c>
      <c r="H34" s="48" t="s">
        <v>100</v>
      </c>
      <c r="I34" s="48" t="s">
        <v>743</v>
      </c>
      <c r="J34" s="48" t="s">
        <v>100</v>
      </c>
      <c r="K34" s="48" t="s">
        <v>100</v>
      </c>
      <c r="L34" s="48" t="s">
        <v>19</v>
      </c>
      <c r="M34" s="48">
        <v>3.75</v>
      </c>
      <c r="N34" s="48">
        <v>2.8</v>
      </c>
      <c r="Q34" s="56"/>
    </row>
    <row r="35" spans="1:17" ht="16.350000000000001" customHeight="1" x14ac:dyDescent="0.4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45">
      <c r="A36" s="55">
        <v>35</v>
      </c>
      <c r="B36" s="55">
        <v>35</v>
      </c>
      <c r="C36" s="48">
        <v>35</v>
      </c>
      <c r="D36" s="48" t="s">
        <v>1</v>
      </c>
      <c r="E36" s="48" t="s">
        <v>18</v>
      </c>
      <c r="F36" s="48" t="s">
        <v>100</v>
      </c>
      <c r="G36" s="48" t="s">
        <v>100</v>
      </c>
      <c r="H36" s="48" t="s">
        <v>100</v>
      </c>
      <c r="I36" s="48" t="s">
        <v>697</v>
      </c>
      <c r="J36" s="48" t="s">
        <v>100</v>
      </c>
      <c r="K36" s="48" t="s">
        <v>100</v>
      </c>
      <c r="L36" s="48" t="s">
        <v>19</v>
      </c>
      <c r="M36" s="48">
        <v>3.75</v>
      </c>
      <c r="N36" s="48">
        <v>2.8</v>
      </c>
      <c r="Q36" s="56"/>
    </row>
    <row r="37" spans="1:17" ht="16.350000000000001" customHeight="1" x14ac:dyDescent="0.45">
      <c r="A37" s="55">
        <v>36</v>
      </c>
      <c r="B37" s="55">
        <v>36</v>
      </c>
      <c r="C37" s="48">
        <v>36</v>
      </c>
      <c r="D37" s="48" t="s">
        <v>55</v>
      </c>
      <c r="E37" s="48" t="s">
        <v>770</v>
      </c>
      <c r="F37" s="48">
        <v>0</v>
      </c>
      <c r="G37" s="48">
        <v>16.399999999999999</v>
      </c>
      <c r="H37" s="48">
        <v>0</v>
      </c>
      <c r="I37" s="48">
        <v>1</v>
      </c>
      <c r="Q37" s="56"/>
    </row>
    <row r="38" spans="1:17" ht="16.350000000000001" customHeight="1" x14ac:dyDescent="0.45">
      <c r="A38" s="55">
        <v>37</v>
      </c>
      <c r="B38" s="55">
        <v>37</v>
      </c>
      <c r="C38" s="48">
        <v>37</v>
      </c>
      <c r="D38" s="48" t="s">
        <v>39</v>
      </c>
      <c r="E38" s="48">
        <v>0</v>
      </c>
      <c r="F38" s="48">
        <v>0</v>
      </c>
      <c r="G38" s="48">
        <v>4</v>
      </c>
      <c r="H38" s="48">
        <v>5000</v>
      </c>
      <c r="O38" s="56"/>
      <c r="Q38" s="56"/>
    </row>
    <row r="39" spans="1:17" ht="16.350000000000001" customHeight="1" x14ac:dyDescent="0.45">
      <c r="A39" s="55">
        <v>38</v>
      </c>
      <c r="B39" s="55">
        <v>9</v>
      </c>
      <c r="C39" s="48">
        <v>38</v>
      </c>
      <c r="D39" s="48" t="s">
        <v>49</v>
      </c>
      <c r="E39" s="48" t="s">
        <v>203</v>
      </c>
      <c r="F39" s="48">
        <v>3</v>
      </c>
      <c r="Q39" s="56"/>
    </row>
    <row r="40" spans="1:17" ht="16.350000000000001" customHeight="1" x14ac:dyDescent="0.45">
      <c r="A40" s="55">
        <v>38</v>
      </c>
      <c r="B40" s="55">
        <v>10</v>
      </c>
      <c r="C40" s="48">
        <v>39</v>
      </c>
      <c r="D40" s="48" t="s">
        <v>1</v>
      </c>
      <c r="E40" s="48" t="s">
        <v>18</v>
      </c>
      <c r="F40" s="48">
        <v>140</v>
      </c>
      <c r="G40" s="48">
        <v>140</v>
      </c>
      <c r="H40" s="48">
        <v>4.0000000001</v>
      </c>
      <c r="I40" s="48" t="s">
        <v>100</v>
      </c>
      <c r="J40" s="48" t="s">
        <v>747</v>
      </c>
      <c r="K40" s="48" t="s">
        <v>100</v>
      </c>
      <c r="L40" s="48" t="s">
        <v>19</v>
      </c>
      <c r="M40" s="48">
        <v>3.75</v>
      </c>
      <c r="N40" s="48">
        <v>2.8</v>
      </c>
      <c r="Q40" s="56"/>
    </row>
    <row r="41" spans="1:17" ht="16.350000000000001" customHeight="1" x14ac:dyDescent="0.45">
      <c r="A41" s="55">
        <v>38</v>
      </c>
      <c r="B41" s="55">
        <v>11</v>
      </c>
      <c r="C41" s="48">
        <v>40</v>
      </c>
      <c r="D41" s="48" t="s">
        <v>1</v>
      </c>
      <c r="E41" s="48" t="s">
        <v>18</v>
      </c>
      <c r="F41" s="48" t="s">
        <v>100</v>
      </c>
      <c r="G41" s="48" t="s">
        <v>100</v>
      </c>
      <c r="H41" s="48" t="s">
        <v>100</v>
      </c>
      <c r="I41" s="48" t="s">
        <v>697</v>
      </c>
      <c r="J41" s="48" t="s">
        <v>100</v>
      </c>
      <c r="K41" s="48" t="s">
        <v>100</v>
      </c>
      <c r="L41" s="48" t="s">
        <v>19</v>
      </c>
      <c r="M41" s="48">
        <v>3.75</v>
      </c>
      <c r="N41" s="48">
        <v>2.8</v>
      </c>
      <c r="Q41" s="56"/>
    </row>
    <row r="42" spans="1:17" ht="16.350000000000001" customHeight="1" x14ac:dyDescent="0.45">
      <c r="A42" s="55">
        <v>38</v>
      </c>
      <c r="B42" s="55">
        <v>12</v>
      </c>
      <c r="C42" s="48">
        <v>41</v>
      </c>
      <c r="D42" s="48" t="s">
        <v>1</v>
      </c>
      <c r="E42" s="48" t="s">
        <v>18</v>
      </c>
      <c r="F42" s="48" t="s">
        <v>100</v>
      </c>
      <c r="G42" s="48" t="s">
        <v>100</v>
      </c>
      <c r="H42" s="48" t="s">
        <v>100</v>
      </c>
      <c r="I42" s="48" t="s">
        <v>100</v>
      </c>
      <c r="J42" s="48" t="s">
        <v>748</v>
      </c>
      <c r="K42" s="48" t="s">
        <v>100</v>
      </c>
      <c r="L42" s="48" t="s">
        <v>19</v>
      </c>
      <c r="M42" s="48">
        <v>3.75</v>
      </c>
      <c r="N42" s="48">
        <v>2.8</v>
      </c>
      <c r="Q42" s="56"/>
    </row>
    <row r="43" spans="1:17" ht="16.350000000000001" customHeight="1" x14ac:dyDescent="0.45">
      <c r="A43" s="55">
        <v>38</v>
      </c>
      <c r="B43" s="55">
        <v>13</v>
      </c>
      <c r="C43" s="48">
        <v>42</v>
      </c>
      <c r="D43" s="48" t="s">
        <v>1</v>
      </c>
      <c r="E43" s="48" t="s">
        <v>18</v>
      </c>
      <c r="F43" s="48" t="s">
        <v>100</v>
      </c>
      <c r="G43" s="48" t="s">
        <v>100</v>
      </c>
      <c r="H43" s="48" t="s">
        <v>100</v>
      </c>
      <c r="I43" s="48" t="s">
        <v>743</v>
      </c>
      <c r="J43" s="48" t="s">
        <v>100</v>
      </c>
      <c r="K43" s="48" t="s">
        <v>100</v>
      </c>
      <c r="L43" s="48" t="s">
        <v>19</v>
      </c>
      <c r="M43" s="48">
        <v>3.75</v>
      </c>
      <c r="N43" s="48">
        <v>2.8</v>
      </c>
      <c r="Q43" s="56"/>
    </row>
    <row r="44" spans="1:17" ht="16.350000000000001" customHeight="1" x14ac:dyDescent="0.45">
      <c r="A44" s="55">
        <v>38</v>
      </c>
      <c r="B44" s="55">
        <v>14</v>
      </c>
      <c r="C44" s="48">
        <v>43</v>
      </c>
      <c r="D44" s="48" t="s">
        <v>55</v>
      </c>
      <c r="E44" s="48" t="s">
        <v>765</v>
      </c>
      <c r="F44" s="48">
        <v>0</v>
      </c>
      <c r="G44" s="48">
        <v>-16.399999999999999</v>
      </c>
      <c r="H44" s="48">
        <v>0</v>
      </c>
      <c r="I44" s="48">
        <v>1</v>
      </c>
      <c r="Q44" s="56"/>
    </row>
    <row r="45" spans="1:17" ht="16.350000000000001" customHeight="1" x14ac:dyDescent="0.45">
      <c r="A45" s="55">
        <v>38</v>
      </c>
      <c r="B45" s="55">
        <v>15</v>
      </c>
      <c r="C45" s="48">
        <v>44</v>
      </c>
      <c r="D45" s="48" t="s">
        <v>39</v>
      </c>
      <c r="E45" s="48">
        <v>0</v>
      </c>
      <c r="F45" s="48">
        <v>0</v>
      </c>
      <c r="G45" s="48">
        <v>2</v>
      </c>
      <c r="H45" s="48">
        <v>5000</v>
      </c>
      <c r="Q45" s="56"/>
    </row>
    <row r="46" spans="1:17" ht="16.350000000000001" customHeight="1" x14ac:dyDescent="0.45">
      <c r="A46" s="55">
        <v>38</v>
      </c>
      <c r="B46" s="55">
        <v>16</v>
      </c>
      <c r="C46" s="48">
        <v>45</v>
      </c>
      <c r="D46" s="48" t="s">
        <v>1</v>
      </c>
      <c r="E46" s="48" t="s">
        <v>18</v>
      </c>
      <c r="F46" s="48" t="s">
        <v>100</v>
      </c>
      <c r="G46" s="48" t="s">
        <v>100</v>
      </c>
      <c r="H46" s="48" t="s">
        <v>100</v>
      </c>
      <c r="I46" s="48" t="s">
        <v>697</v>
      </c>
      <c r="J46" s="48" t="s">
        <v>100</v>
      </c>
      <c r="K46" s="48" t="s">
        <v>100</v>
      </c>
      <c r="L46" s="48" t="s">
        <v>19</v>
      </c>
      <c r="M46" s="48">
        <v>3.75</v>
      </c>
      <c r="N46" s="48">
        <v>2.8</v>
      </c>
      <c r="Q46" s="56"/>
    </row>
    <row r="47" spans="1:17" ht="16.350000000000001" customHeight="1" x14ac:dyDescent="0.45">
      <c r="A47" s="55">
        <v>38</v>
      </c>
      <c r="B47" s="55">
        <v>17</v>
      </c>
      <c r="C47" s="48">
        <v>46</v>
      </c>
      <c r="D47" s="48" t="s">
        <v>1</v>
      </c>
      <c r="E47" s="48" t="s">
        <v>18</v>
      </c>
      <c r="F47" s="48" t="s">
        <v>100</v>
      </c>
      <c r="G47" s="48" t="s">
        <v>100</v>
      </c>
      <c r="H47" s="48" t="s">
        <v>100</v>
      </c>
      <c r="I47" s="48" t="s">
        <v>100</v>
      </c>
      <c r="J47" s="48" t="s">
        <v>750</v>
      </c>
      <c r="K47" s="48" t="s">
        <v>100</v>
      </c>
      <c r="L47" s="48" t="s">
        <v>19</v>
      </c>
      <c r="M47" s="48">
        <v>3.75</v>
      </c>
      <c r="N47" s="48">
        <v>2.8</v>
      </c>
      <c r="Q47" s="56"/>
    </row>
    <row r="48" spans="1:17" ht="16.350000000000001" customHeight="1" x14ac:dyDescent="0.45">
      <c r="A48" s="55">
        <v>38</v>
      </c>
      <c r="B48" s="55">
        <v>18</v>
      </c>
      <c r="C48" s="48">
        <v>47</v>
      </c>
      <c r="D48" s="48" t="s">
        <v>1</v>
      </c>
      <c r="E48" s="48" t="s">
        <v>18</v>
      </c>
      <c r="F48" s="48" t="s">
        <v>100</v>
      </c>
      <c r="G48" s="48" t="s">
        <v>100</v>
      </c>
      <c r="H48" s="48" t="s">
        <v>100</v>
      </c>
      <c r="I48" s="48" t="s">
        <v>743</v>
      </c>
      <c r="J48" s="48" t="s">
        <v>100</v>
      </c>
      <c r="K48" s="48" t="s">
        <v>100</v>
      </c>
      <c r="L48" s="48" t="s">
        <v>19</v>
      </c>
      <c r="M48" s="48">
        <v>3.75</v>
      </c>
      <c r="N48" s="48">
        <v>2.8</v>
      </c>
    </row>
    <row r="49" spans="1:17" ht="16.350000000000001" customHeight="1" x14ac:dyDescent="0.45">
      <c r="A49" s="55">
        <v>38</v>
      </c>
      <c r="B49" s="55">
        <v>19</v>
      </c>
      <c r="C49" s="48">
        <v>48</v>
      </c>
      <c r="D49" s="48" t="s">
        <v>1</v>
      </c>
      <c r="E49" s="48" t="s">
        <v>18</v>
      </c>
      <c r="F49" s="48" t="s">
        <v>100</v>
      </c>
      <c r="G49" s="48" t="s">
        <v>100</v>
      </c>
      <c r="H49" s="48" t="s">
        <v>100</v>
      </c>
      <c r="I49" s="48" t="s">
        <v>100</v>
      </c>
      <c r="J49" s="48" t="s">
        <v>751</v>
      </c>
      <c r="K49" s="48" t="s">
        <v>100</v>
      </c>
      <c r="L49" s="48" t="s">
        <v>19</v>
      </c>
      <c r="M49" s="48">
        <v>3.75</v>
      </c>
      <c r="N49" s="48">
        <v>2.8</v>
      </c>
      <c r="O49" s="56"/>
      <c r="Q49" s="56"/>
    </row>
    <row r="50" spans="1:17" ht="16.350000000000001" customHeight="1" x14ac:dyDescent="0.45">
      <c r="A50" s="55">
        <v>38</v>
      </c>
      <c r="B50" s="55">
        <v>20</v>
      </c>
      <c r="C50" s="48">
        <v>49</v>
      </c>
      <c r="D50" s="48" t="s">
        <v>55</v>
      </c>
      <c r="E50" s="48" t="s">
        <v>766</v>
      </c>
      <c r="F50" s="48">
        <v>0</v>
      </c>
      <c r="G50" s="48">
        <v>16.399999999999999</v>
      </c>
      <c r="H50" s="48">
        <v>0</v>
      </c>
      <c r="I50" s="48">
        <v>1</v>
      </c>
      <c r="Q50" s="56"/>
    </row>
    <row r="51" spans="1:17" ht="16.350000000000001" customHeight="1" x14ac:dyDescent="0.45">
      <c r="A51" s="55">
        <v>38</v>
      </c>
      <c r="B51" s="55">
        <v>21</v>
      </c>
      <c r="C51" s="48">
        <v>50</v>
      </c>
      <c r="D51" s="48" t="s">
        <v>698</v>
      </c>
      <c r="E51" s="48">
        <v>0.35</v>
      </c>
      <c r="F51" s="48">
        <v>80</v>
      </c>
      <c r="G51" s="48">
        <v>4</v>
      </c>
      <c r="H51" s="48">
        <v>5000</v>
      </c>
      <c r="Q51" s="56"/>
    </row>
    <row r="52" spans="1:17" ht="16.350000000000001" customHeight="1" x14ac:dyDescent="0.45">
      <c r="A52" s="55">
        <v>38</v>
      </c>
      <c r="B52" s="55">
        <v>22</v>
      </c>
      <c r="C52" s="48">
        <v>51</v>
      </c>
      <c r="D52" s="48" t="s">
        <v>49</v>
      </c>
      <c r="E52" s="48" t="s">
        <v>203</v>
      </c>
      <c r="F52" s="48">
        <v>2</v>
      </c>
      <c r="Q52" s="56"/>
    </row>
    <row r="53" spans="1:17" ht="16.350000000000001" customHeight="1" x14ac:dyDescent="0.4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45">
      <c r="A54" s="55">
        <v>38</v>
      </c>
      <c r="B54" s="55">
        <v>24</v>
      </c>
      <c r="C54" s="48">
        <v>53</v>
      </c>
      <c r="D54" s="48" t="s">
        <v>172</v>
      </c>
      <c r="E54" s="48" t="s">
        <v>712</v>
      </c>
      <c r="F54" s="48">
        <v>155</v>
      </c>
      <c r="G54" s="48" t="s">
        <v>713</v>
      </c>
      <c r="H54" s="48">
        <v>0</v>
      </c>
      <c r="I54" s="48">
        <v>1</v>
      </c>
      <c r="J54" s="48">
        <v>1</v>
      </c>
      <c r="K54" s="48">
        <v>3.75</v>
      </c>
      <c r="L54" s="48">
        <v>2.8</v>
      </c>
      <c r="Q54" s="56"/>
    </row>
    <row r="55" spans="1:17" ht="16.350000000000001" customHeight="1" x14ac:dyDescent="0.4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45">
      <c r="A56" s="55">
        <v>38</v>
      </c>
      <c r="B56" s="55">
        <v>26</v>
      </c>
      <c r="C56" s="48">
        <v>55</v>
      </c>
      <c r="D56" s="48" t="s">
        <v>1</v>
      </c>
      <c r="E56" s="48" t="s">
        <v>18</v>
      </c>
      <c r="F56" s="48" t="s">
        <v>100</v>
      </c>
      <c r="G56" s="48" t="s">
        <v>100</v>
      </c>
      <c r="H56" s="48" t="s">
        <v>100</v>
      </c>
      <c r="I56" s="48" t="s">
        <v>743</v>
      </c>
      <c r="J56" s="48" t="s">
        <v>100</v>
      </c>
      <c r="K56" s="48" t="s">
        <v>100</v>
      </c>
      <c r="L56" s="48" t="s">
        <v>19</v>
      </c>
      <c r="M56" s="48">
        <v>3.75</v>
      </c>
      <c r="N56" s="48">
        <v>2.8</v>
      </c>
      <c r="Q56" s="56"/>
    </row>
    <row r="57" spans="1:17" ht="16.350000000000001" customHeight="1" x14ac:dyDescent="0.45">
      <c r="A57" s="55">
        <v>38</v>
      </c>
      <c r="B57" s="55">
        <v>27</v>
      </c>
      <c r="C57" s="48">
        <v>56</v>
      </c>
      <c r="D57" s="48" t="s">
        <v>1</v>
      </c>
      <c r="E57" s="48" t="s">
        <v>18</v>
      </c>
      <c r="F57" s="48" t="s">
        <v>100</v>
      </c>
      <c r="G57" s="48" t="s">
        <v>100</v>
      </c>
      <c r="H57" s="48" t="s">
        <v>100</v>
      </c>
      <c r="I57" s="48" t="s">
        <v>100</v>
      </c>
      <c r="J57" s="48" t="s">
        <v>744</v>
      </c>
      <c r="K57" s="48" t="s">
        <v>100</v>
      </c>
      <c r="L57" s="48" t="s">
        <v>19</v>
      </c>
      <c r="M57" s="48">
        <v>3.75</v>
      </c>
      <c r="N57" s="48">
        <v>2.8</v>
      </c>
      <c r="Q57" s="56"/>
    </row>
    <row r="58" spans="1:17" ht="16.350000000000001" customHeight="1" x14ac:dyDescent="0.45">
      <c r="A58" s="55">
        <v>38</v>
      </c>
      <c r="B58" s="55">
        <v>28</v>
      </c>
      <c r="C58" s="48">
        <v>57</v>
      </c>
      <c r="D58" s="48" t="s">
        <v>1</v>
      </c>
      <c r="E58" s="48" t="s">
        <v>18</v>
      </c>
      <c r="F58" s="48" t="s">
        <v>100</v>
      </c>
      <c r="G58" s="48" t="s">
        <v>100</v>
      </c>
      <c r="H58" s="48" t="s">
        <v>100</v>
      </c>
      <c r="I58" s="48" t="s">
        <v>697</v>
      </c>
      <c r="J58" s="48" t="s">
        <v>100</v>
      </c>
      <c r="K58" s="48" t="s">
        <v>100</v>
      </c>
      <c r="L58" s="48" t="s">
        <v>19</v>
      </c>
      <c r="M58" s="48">
        <v>3.75</v>
      </c>
      <c r="N58" s="48">
        <v>2.8</v>
      </c>
      <c r="Q58" s="56"/>
    </row>
    <row r="59" spans="1:17" ht="16.350000000000001" customHeight="1" x14ac:dyDescent="0.45">
      <c r="A59" s="55">
        <v>38</v>
      </c>
      <c r="B59" s="55">
        <v>29</v>
      </c>
      <c r="C59" s="48">
        <v>58</v>
      </c>
      <c r="D59" s="48" t="s">
        <v>1</v>
      </c>
      <c r="E59" s="48" t="s">
        <v>18</v>
      </c>
      <c r="F59" s="48" t="s">
        <v>100</v>
      </c>
      <c r="G59" s="48" t="s">
        <v>100</v>
      </c>
      <c r="H59" s="48" t="s">
        <v>100</v>
      </c>
      <c r="I59" s="48" t="s">
        <v>100</v>
      </c>
      <c r="J59" s="48" t="s">
        <v>745</v>
      </c>
      <c r="K59" s="48" t="s">
        <v>100</v>
      </c>
      <c r="L59" s="48" t="s">
        <v>19</v>
      </c>
      <c r="M59" s="48">
        <v>3.75</v>
      </c>
      <c r="N59" s="48">
        <v>2.8</v>
      </c>
      <c r="Q59" s="56"/>
    </row>
    <row r="60" spans="1:17" ht="16.350000000000001" customHeight="1" x14ac:dyDescent="0.45">
      <c r="A60" s="55">
        <v>38</v>
      </c>
      <c r="B60" s="55">
        <v>30</v>
      </c>
      <c r="C60" s="48">
        <v>59</v>
      </c>
      <c r="D60" s="48" t="s">
        <v>55</v>
      </c>
      <c r="E60" s="48" t="s">
        <v>771</v>
      </c>
      <c r="F60" s="48">
        <v>0</v>
      </c>
      <c r="G60" s="48">
        <v>-16.399999999999999</v>
      </c>
      <c r="H60" s="48">
        <v>0</v>
      </c>
      <c r="I60" s="48">
        <v>1</v>
      </c>
      <c r="O60" s="56"/>
      <c r="Q60" s="56"/>
    </row>
    <row r="61" spans="1:17" ht="16.350000000000001" customHeight="1" x14ac:dyDescent="0.45">
      <c r="A61" s="55">
        <v>38</v>
      </c>
      <c r="B61" s="55">
        <v>31</v>
      </c>
      <c r="C61" s="48">
        <v>60</v>
      </c>
      <c r="D61" s="48" t="s">
        <v>39</v>
      </c>
      <c r="E61" s="48">
        <v>0</v>
      </c>
      <c r="F61" s="48">
        <v>0</v>
      </c>
      <c r="G61" s="48">
        <v>2</v>
      </c>
      <c r="H61" s="48">
        <v>5000</v>
      </c>
      <c r="Q61" s="56"/>
    </row>
    <row r="62" spans="1:17" ht="16.350000000000001" customHeight="1" x14ac:dyDescent="0.45">
      <c r="A62" s="55">
        <v>38</v>
      </c>
      <c r="B62" s="55">
        <v>32</v>
      </c>
      <c r="C62" s="48">
        <v>61</v>
      </c>
      <c r="D62" s="48" t="s">
        <v>1</v>
      </c>
      <c r="E62" s="48" t="s">
        <v>18</v>
      </c>
      <c r="F62" s="48" t="s">
        <v>100</v>
      </c>
      <c r="G62" s="48" t="s">
        <v>100</v>
      </c>
      <c r="H62" s="48" t="s">
        <v>100</v>
      </c>
      <c r="I62" s="48" t="s">
        <v>100</v>
      </c>
      <c r="J62" s="48" t="s">
        <v>758</v>
      </c>
      <c r="K62" s="48" t="s">
        <v>100</v>
      </c>
      <c r="L62" s="48" t="s">
        <v>19</v>
      </c>
      <c r="M62" s="48">
        <v>3.75</v>
      </c>
      <c r="N62" s="48">
        <v>2.8</v>
      </c>
      <c r="Q62" s="56"/>
    </row>
    <row r="63" spans="1:17" ht="16.350000000000001" customHeight="1" x14ac:dyDescent="0.45">
      <c r="A63" s="55">
        <v>38</v>
      </c>
      <c r="B63" s="55">
        <v>33</v>
      </c>
      <c r="C63" s="48">
        <v>62</v>
      </c>
      <c r="D63" s="48" t="s">
        <v>1</v>
      </c>
      <c r="E63" s="48" t="s">
        <v>18</v>
      </c>
      <c r="F63" s="48" t="s">
        <v>100</v>
      </c>
      <c r="G63" s="48" t="s">
        <v>100</v>
      </c>
      <c r="H63" s="48" t="s">
        <v>100</v>
      </c>
      <c r="I63" s="48" t="s">
        <v>743</v>
      </c>
      <c r="J63" s="48" t="s">
        <v>100</v>
      </c>
      <c r="K63" s="48" t="s">
        <v>100</v>
      </c>
      <c r="L63" s="48" t="s">
        <v>19</v>
      </c>
      <c r="M63" s="48">
        <v>3.75</v>
      </c>
      <c r="N63" s="48">
        <v>2.8</v>
      </c>
      <c r="Q63" s="56"/>
    </row>
    <row r="64" spans="1:17" ht="16.350000000000001" customHeight="1" x14ac:dyDescent="0.4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45">
      <c r="A65" s="55">
        <v>38</v>
      </c>
      <c r="B65" s="55">
        <v>35</v>
      </c>
      <c r="C65" s="48">
        <v>64</v>
      </c>
      <c r="D65" s="48" t="s">
        <v>1</v>
      </c>
      <c r="E65" s="48" t="s">
        <v>18</v>
      </c>
      <c r="F65" s="48" t="s">
        <v>100</v>
      </c>
      <c r="G65" s="48" t="s">
        <v>100</v>
      </c>
      <c r="H65" s="48" t="s">
        <v>100</v>
      </c>
      <c r="I65" s="48" t="s">
        <v>697</v>
      </c>
      <c r="J65" s="48" t="s">
        <v>100</v>
      </c>
      <c r="K65" s="48" t="s">
        <v>100</v>
      </c>
      <c r="L65" s="48" t="s">
        <v>19</v>
      </c>
      <c r="M65" s="48">
        <v>3.75</v>
      </c>
      <c r="N65" s="48">
        <v>2.8</v>
      </c>
      <c r="Q65" s="56"/>
    </row>
    <row r="66" spans="1:17" ht="16.350000000000001" customHeight="1" x14ac:dyDescent="0.45">
      <c r="A66" s="55">
        <v>38</v>
      </c>
      <c r="B66" s="55">
        <v>36</v>
      </c>
      <c r="C66" s="48">
        <v>65</v>
      </c>
      <c r="D66" s="48" t="s">
        <v>55</v>
      </c>
      <c r="E66" s="48" t="s">
        <v>772</v>
      </c>
      <c r="F66" s="48">
        <v>0</v>
      </c>
      <c r="G66" s="48">
        <v>16.399999999999999</v>
      </c>
      <c r="H66" s="48">
        <v>0</v>
      </c>
      <c r="I66" s="48">
        <v>1</v>
      </c>
    </row>
    <row r="67" spans="1:17" ht="16.350000000000001" customHeight="1" x14ac:dyDescent="0.45">
      <c r="A67" s="55">
        <v>38</v>
      </c>
      <c r="B67" s="55">
        <v>37</v>
      </c>
      <c r="C67" s="48">
        <v>66</v>
      </c>
      <c r="D67" s="48" t="s">
        <v>39</v>
      </c>
      <c r="E67" s="48">
        <v>0</v>
      </c>
      <c r="F67" s="48">
        <v>0</v>
      </c>
      <c r="G67" s="48">
        <v>4</v>
      </c>
      <c r="H67" s="48">
        <v>5000</v>
      </c>
      <c r="Q67" s="56"/>
    </row>
    <row r="68" spans="1:17" ht="16.350000000000001" customHeight="1" x14ac:dyDescent="0.45">
      <c r="A68" s="55">
        <v>38</v>
      </c>
      <c r="B68" s="55">
        <v>9</v>
      </c>
      <c r="C68" s="48">
        <v>67</v>
      </c>
      <c r="D68" s="48" t="s">
        <v>49</v>
      </c>
      <c r="E68" s="48" t="s">
        <v>203</v>
      </c>
      <c r="F68" s="48">
        <v>3</v>
      </c>
    </row>
    <row r="69" spans="1:17" ht="16.350000000000001" customHeight="1" x14ac:dyDescent="0.45">
      <c r="A69" s="55">
        <v>38</v>
      </c>
      <c r="B69" s="55">
        <v>10</v>
      </c>
      <c r="C69" s="48">
        <v>68</v>
      </c>
      <c r="D69" s="48" t="s">
        <v>1</v>
      </c>
      <c r="E69" s="48" t="s">
        <v>18</v>
      </c>
      <c r="F69" s="48">
        <v>140</v>
      </c>
      <c r="G69" s="48">
        <v>140</v>
      </c>
      <c r="H69" s="48">
        <v>8.0000000001</v>
      </c>
      <c r="I69" s="48" t="s">
        <v>100</v>
      </c>
      <c r="J69" s="48" t="s">
        <v>747</v>
      </c>
      <c r="K69" s="48" t="s">
        <v>100</v>
      </c>
      <c r="L69" s="48" t="s">
        <v>19</v>
      </c>
      <c r="M69" s="48">
        <v>3.75</v>
      </c>
      <c r="N69" s="48">
        <v>2.8</v>
      </c>
      <c r="Q69" s="56"/>
    </row>
    <row r="70" spans="1:17" ht="16.350000000000001" customHeight="1" x14ac:dyDescent="0.45">
      <c r="A70" s="55">
        <v>38</v>
      </c>
      <c r="B70" s="55">
        <v>11</v>
      </c>
      <c r="C70" s="48">
        <v>69</v>
      </c>
      <c r="D70" s="48" t="s">
        <v>1</v>
      </c>
      <c r="E70" s="48" t="s">
        <v>18</v>
      </c>
      <c r="F70" s="48" t="s">
        <v>100</v>
      </c>
      <c r="G70" s="48" t="s">
        <v>100</v>
      </c>
      <c r="H70" s="48" t="s">
        <v>100</v>
      </c>
      <c r="I70" s="48" t="s">
        <v>697</v>
      </c>
      <c r="J70" s="48" t="s">
        <v>100</v>
      </c>
      <c r="K70" s="48" t="s">
        <v>100</v>
      </c>
      <c r="L70" s="48" t="s">
        <v>19</v>
      </c>
      <c r="M70" s="48">
        <v>3.75</v>
      </c>
      <c r="N70" s="48">
        <v>2.8</v>
      </c>
      <c r="Q70" s="56"/>
    </row>
    <row r="71" spans="1:17" ht="16.350000000000001" customHeight="1" x14ac:dyDescent="0.45">
      <c r="A71" s="55">
        <v>38</v>
      </c>
      <c r="B71" s="55">
        <v>12</v>
      </c>
      <c r="C71" s="48">
        <v>70</v>
      </c>
      <c r="D71" s="48" t="s">
        <v>1</v>
      </c>
      <c r="E71" s="48" t="s">
        <v>18</v>
      </c>
      <c r="F71" s="48" t="s">
        <v>100</v>
      </c>
      <c r="G71" s="48" t="s">
        <v>100</v>
      </c>
      <c r="H71" s="48" t="s">
        <v>100</v>
      </c>
      <c r="I71" s="48" t="s">
        <v>100</v>
      </c>
      <c r="J71" s="48" t="s">
        <v>748</v>
      </c>
      <c r="K71" s="48" t="s">
        <v>100</v>
      </c>
      <c r="L71" s="48" t="s">
        <v>19</v>
      </c>
      <c r="M71" s="48">
        <v>3.75</v>
      </c>
      <c r="N71" s="48">
        <v>2.8</v>
      </c>
      <c r="O71" s="56"/>
      <c r="Q71" s="56"/>
    </row>
    <row r="72" spans="1:17" ht="16.350000000000001" customHeight="1" x14ac:dyDescent="0.45">
      <c r="A72" s="55">
        <v>38</v>
      </c>
      <c r="B72" s="55">
        <v>13</v>
      </c>
      <c r="C72" s="48">
        <v>71</v>
      </c>
      <c r="D72" s="48" t="s">
        <v>1</v>
      </c>
      <c r="E72" s="48" t="s">
        <v>18</v>
      </c>
      <c r="F72" s="48" t="s">
        <v>100</v>
      </c>
      <c r="G72" s="48" t="s">
        <v>100</v>
      </c>
      <c r="H72" s="48" t="s">
        <v>100</v>
      </c>
      <c r="I72" s="48" t="s">
        <v>743</v>
      </c>
      <c r="J72" s="48" t="s">
        <v>100</v>
      </c>
      <c r="K72" s="48" t="s">
        <v>100</v>
      </c>
      <c r="L72" s="48" t="s">
        <v>19</v>
      </c>
      <c r="M72" s="48">
        <v>3.75</v>
      </c>
      <c r="N72" s="48">
        <v>2.8</v>
      </c>
    </row>
    <row r="73" spans="1:17" ht="16.350000000000001" customHeight="1" x14ac:dyDescent="0.45">
      <c r="A73" s="55">
        <v>38</v>
      </c>
      <c r="B73" s="55">
        <v>14</v>
      </c>
      <c r="C73" s="48">
        <v>72</v>
      </c>
      <c r="D73" s="48" t="s">
        <v>55</v>
      </c>
      <c r="E73" s="48" t="s">
        <v>773</v>
      </c>
      <c r="F73" s="48">
        <v>0</v>
      </c>
      <c r="G73" s="48">
        <v>-16.399999999999999</v>
      </c>
      <c r="H73" s="48">
        <v>0</v>
      </c>
      <c r="I73" s="48">
        <v>1</v>
      </c>
    </row>
    <row r="74" spans="1:17" ht="16.350000000000001" customHeight="1" x14ac:dyDescent="0.45">
      <c r="A74" s="55">
        <v>38</v>
      </c>
      <c r="B74" s="55">
        <v>15</v>
      </c>
      <c r="C74" s="48">
        <v>73</v>
      </c>
      <c r="D74" s="48" t="s">
        <v>39</v>
      </c>
      <c r="E74" s="48">
        <v>0</v>
      </c>
      <c r="F74" s="48">
        <v>0</v>
      </c>
      <c r="G74" s="48">
        <v>2</v>
      </c>
      <c r="H74" s="48">
        <v>5000</v>
      </c>
    </row>
    <row r="75" spans="1:17" ht="16.350000000000001" customHeight="1" x14ac:dyDescent="0.45">
      <c r="A75" s="55">
        <v>38</v>
      </c>
      <c r="B75" s="55">
        <v>16</v>
      </c>
      <c r="C75" s="48">
        <v>74</v>
      </c>
      <c r="D75" s="48" t="s">
        <v>1</v>
      </c>
      <c r="E75" s="48" t="s">
        <v>18</v>
      </c>
      <c r="F75" s="48" t="s">
        <v>100</v>
      </c>
      <c r="G75" s="48" t="s">
        <v>100</v>
      </c>
      <c r="H75" s="48" t="s">
        <v>100</v>
      </c>
      <c r="I75" s="48" t="s">
        <v>697</v>
      </c>
      <c r="J75" s="48" t="s">
        <v>100</v>
      </c>
      <c r="K75" s="48" t="s">
        <v>100</v>
      </c>
      <c r="L75" s="48" t="s">
        <v>19</v>
      </c>
      <c r="M75" s="48">
        <v>3.75</v>
      </c>
      <c r="N75" s="48">
        <v>2.8</v>
      </c>
    </row>
    <row r="76" spans="1:17" ht="16.350000000000001" customHeight="1" x14ac:dyDescent="0.45">
      <c r="A76" s="55">
        <v>38</v>
      </c>
      <c r="B76" s="55">
        <v>17</v>
      </c>
      <c r="C76" s="48">
        <v>75</v>
      </c>
      <c r="D76" s="48" t="s">
        <v>1</v>
      </c>
      <c r="E76" s="48" t="s">
        <v>18</v>
      </c>
      <c r="F76" s="48" t="s">
        <v>100</v>
      </c>
      <c r="G76" s="48" t="s">
        <v>100</v>
      </c>
      <c r="H76" s="48" t="s">
        <v>100</v>
      </c>
      <c r="I76" s="48" t="s">
        <v>100</v>
      </c>
      <c r="J76" s="48" t="s">
        <v>750</v>
      </c>
      <c r="K76" s="48" t="s">
        <v>100</v>
      </c>
      <c r="L76" s="48" t="s">
        <v>19</v>
      </c>
      <c r="M76" s="48">
        <v>3.75</v>
      </c>
      <c r="N76" s="48">
        <v>2.8</v>
      </c>
    </row>
    <row r="77" spans="1:17" ht="16.350000000000001" customHeight="1" x14ac:dyDescent="0.45">
      <c r="A77" s="55">
        <v>38</v>
      </c>
      <c r="B77" s="55">
        <v>18</v>
      </c>
      <c r="C77" s="48">
        <v>76</v>
      </c>
      <c r="D77" s="48" t="s">
        <v>1</v>
      </c>
      <c r="E77" s="48" t="s">
        <v>18</v>
      </c>
      <c r="F77" s="48" t="s">
        <v>100</v>
      </c>
      <c r="G77" s="48" t="s">
        <v>100</v>
      </c>
      <c r="H77" s="48" t="s">
        <v>100</v>
      </c>
      <c r="I77" s="48" t="s">
        <v>743</v>
      </c>
      <c r="J77" s="48" t="s">
        <v>100</v>
      </c>
      <c r="K77" s="48" t="s">
        <v>100</v>
      </c>
      <c r="L77" s="48" t="s">
        <v>19</v>
      </c>
      <c r="M77" s="48">
        <v>3.75</v>
      </c>
      <c r="N77" s="48">
        <v>2.8</v>
      </c>
    </row>
    <row r="78" spans="1:17" ht="16.350000000000001" customHeight="1" x14ac:dyDescent="0.45">
      <c r="A78" s="55">
        <v>38</v>
      </c>
      <c r="B78" s="55">
        <v>19</v>
      </c>
      <c r="C78" s="48">
        <v>77</v>
      </c>
      <c r="D78" s="48" t="s">
        <v>1</v>
      </c>
      <c r="E78" s="48" t="s">
        <v>18</v>
      </c>
      <c r="F78" s="48" t="s">
        <v>100</v>
      </c>
      <c r="G78" s="48" t="s">
        <v>100</v>
      </c>
      <c r="H78" s="48" t="s">
        <v>100</v>
      </c>
      <c r="I78" s="48" t="s">
        <v>100</v>
      </c>
      <c r="J78" s="48" t="s">
        <v>751</v>
      </c>
      <c r="K78" s="48" t="s">
        <v>100</v>
      </c>
      <c r="L78" s="48" t="s">
        <v>19</v>
      </c>
      <c r="M78" s="48">
        <v>3.75</v>
      </c>
      <c r="N78" s="48">
        <v>2.8</v>
      </c>
    </row>
    <row r="79" spans="1:17" ht="16.350000000000001" customHeight="1" x14ac:dyDescent="0.45">
      <c r="A79" s="55">
        <v>38</v>
      </c>
      <c r="B79" s="55">
        <v>20</v>
      </c>
      <c r="C79" s="48">
        <v>78</v>
      </c>
      <c r="D79" s="48" t="s">
        <v>55</v>
      </c>
      <c r="E79" s="48" t="s">
        <v>774</v>
      </c>
      <c r="F79" s="48">
        <v>0</v>
      </c>
      <c r="G79" s="48">
        <v>16.399999999999999</v>
      </c>
      <c r="H79" s="48">
        <v>0</v>
      </c>
      <c r="I79" s="48">
        <v>1</v>
      </c>
    </row>
    <row r="80" spans="1:17" ht="16.350000000000001" customHeight="1" x14ac:dyDescent="0.45">
      <c r="A80" s="55">
        <v>38</v>
      </c>
      <c r="B80" s="55">
        <v>21</v>
      </c>
      <c r="C80" s="48">
        <v>79</v>
      </c>
      <c r="D80" s="48" t="s">
        <v>698</v>
      </c>
      <c r="E80" s="48">
        <v>0.35</v>
      </c>
      <c r="F80" s="48">
        <v>80</v>
      </c>
      <c r="G80" s="48">
        <v>4</v>
      </c>
      <c r="H80" s="48">
        <v>5000</v>
      </c>
    </row>
    <row r="81" spans="1:15" ht="16.350000000000001" customHeight="1" x14ac:dyDescent="0.45">
      <c r="A81" s="55">
        <v>38</v>
      </c>
      <c r="B81" s="55">
        <v>22</v>
      </c>
      <c r="C81" s="48">
        <v>80</v>
      </c>
      <c r="D81" s="48" t="s">
        <v>49</v>
      </c>
      <c r="E81" s="48" t="s">
        <v>203</v>
      </c>
      <c r="F81" s="48">
        <v>2</v>
      </c>
    </row>
    <row r="82" spans="1:15" ht="16.350000000000001" customHeight="1" x14ac:dyDescent="0.4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45">
      <c r="A83" s="55">
        <v>38</v>
      </c>
      <c r="B83" s="55">
        <v>24</v>
      </c>
      <c r="C83" s="48">
        <v>82</v>
      </c>
      <c r="D83" s="48" t="s">
        <v>172</v>
      </c>
      <c r="E83" s="48" t="s">
        <v>712</v>
      </c>
      <c r="F83" s="48">
        <v>155</v>
      </c>
      <c r="G83" s="48" t="s">
        <v>714</v>
      </c>
      <c r="H83" s="48">
        <v>0</v>
      </c>
      <c r="I83" s="48">
        <v>1</v>
      </c>
      <c r="J83" s="48">
        <v>1</v>
      </c>
      <c r="K83" s="48">
        <v>3.75</v>
      </c>
      <c r="L83" s="48">
        <v>2.8</v>
      </c>
    </row>
    <row r="84" spans="1:15" ht="16.350000000000001" customHeight="1" x14ac:dyDescent="0.4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45">
      <c r="A85" s="55">
        <v>38</v>
      </c>
      <c r="B85" s="55">
        <v>26</v>
      </c>
      <c r="C85" s="48">
        <v>84</v>
      </c>
      <c r="D85" s="48" t="s">
        <v>1</v>
      </c>
      <c r="E85" s="48" t="s">
        <v>18</v>
      </c>
      <c r="F85" s="48" t="s">
        <v>100</v>
      </c>
      <c r="G85" s="48" t="s">
        <v>100</v>
      </c>
      <c r="H85" s="48" t="s">
        <v>100</v>
      </c>
      <c r="I85" s="48" t="s">
        <v>743</v>
      </c>
      <c r="J85" s="48" t="s">
        <v>100</v>
      </c>
      <c r="K85" s="48" t="s">
        <v>100</v>
      </c>
      <c r="L85" s="48" t="s">
        <v>19</v>
      </c>
      <c r="M85" s="48">
        <v>3.75</v>
      </c>
      <c r="N85" s="48">
        <v>2.8</v>
      </c>
    </row>
    <row r="86" spans="1:15" ht="16.350000000000001" customHeight="1" x14ac:dyDescent="0.45">
      <c r="A86" s="55">
        <v>38</v>
      </c>
      <c r="B86" s="55">
        <v>27</v>
      </c>
      <c r="C86" s="48">
        <v>85</v>
      </c>
      <c r="D86" s="48" t="s">
        <v>1</v>
      </c>
      <c r="E86" s="48" t="s">
        <v>18</v>
      </c>
      <c r="F86" s="48" t="s">
        <v>100</v>
      </c>
      <c r="G86" s="48" t="s">
        <v>100</v>
      </c>
      <c r="H86" s="48" t="s">
        <v>100</v>
      </c>
      <c r="I86" s="48" t="s">
        <v>100</v>
      </c>
      <c r="J86" s="48" t="s">
        <v>744</v>
      </c>
      <c r="K86" s="48" t="s">
        <v>100</v>
      </c>
      <c r="L86" s="48" t="s">
        <v>19</v>
      </c>
      <c r="M86" s="48">
        <v>3.75</v>
      </c>
      <c r="N86" s="48">
        <v>2.8</v>
      </c>
    </row>
    <row r="87" spans="1:15" ht="16.350000000000001" customHeight="1" x14ac:dyDescent="0.45">
      <c r="A87" s="55">
        <v>38</v>
      </c>
      <c r="B87" s="55">
        <v>28</v>
      </c>
      <c r="C87" s="48">
        <v>86</v>
      </c>
      <c r="D87" s="48" t="s">
        <v>1</v>
      </c>
      <c r="E87" s="48" t="s">
        <v>18</v>
      </c>
      <c r="F87" s="48" t="s">
        <v>100</v>
      </c>
      <c r="G87" s="48" t="s">
        <v>100</v>
      </c>
      <c r="H87" s="48" t="s">
        <v>100</v>
      </c>
      <c r="I87" s="48" t="s">
        <v>697</v>
      </c>
      <c r="J87" s="48" t="s">
        <v>100</v>
      </c>
      <c r="K87" s="48" t="s">
        <v>100</v>
      </c>
      <c r="L87" s="48" t="s">
        <v>19</v>
      </c>
      <c r="M87" s="48">
        <v>3.75</v>
      </c>
      <c r="N87" s="48">
        <v>2.8</v>
      </c>
    </row>
    <row r="88" spans="1:15" ht="16.350000000000001" customHeight="1" x14ac:dyDescent="0.45">
      <c r="A88" s="55">
        <v>38</v>
      </c>
      <c r="B88" s="55">
        <v>29</v>
      </c>
      <c r="C88" s="48">
        <v>87</v>
      </c>
      <c r="D88" s="48" t="s">
        <v>1</v>
      </c>
      <c r="E88" s="48" t="s">
        <v>18</v>
      </c>
      <c r="F88" s="48" t="s">
        <v>100</v>
      </c>
      <c r="G88" s="48" t="s">
        <v>100</v>
      </c>
      <c r="H88" s="48" t="s">
        <v>100</v>
      </c>
      <c r="I88" s="48" t="s">
        <v>100</v>
      </c>
      <c r="J88" s="48" t="s">
        <v>745</v>
      </c>
      <c r="K88" s="48" t="s">
        <v>100</v>
      </c>
      <c r="L88" s="48" t="s">
        <v>19</v>
      </c>
      <c r="M88" s="48">
        <v>3.75</v>
      </c>
      <c r="N88" s="48">
        <v>2.8</v>
      </c>
    </row>
    <row r="89" spans="1:15" ht="16.350000000000001" customHeight="1" x14ac:dyDescent="0.45">
      <c r="A89" s="55">
        <v>38</v>
      </c>
      <c r="B89" s="55">
        <v>30</v>
      </c>
      <c r="C89" s="48">
        <v>88</v>
      </c>
      <c r="D89" s="48" t="s">
        <v>55</v>
      </c>
      <c r="E89" s="48" t="s">
        <v>775</v>
      </c>
      <c r="F89" s="48">
        <v>0</v>
      </c>
      <c r="G89" s="48">
        <v>-16.399999999999999</v>
      </c>
      <c r="H89" s="48">
        <v>0</v>
      </c>
      <c r="I89" s="48">
        <v>1</v>
      </c>
    </row>
    <row r="90" spans="1:15" ht="16.350000000000001" customHeight="1" x14ac:dyDescent="0.45">
      <c r="A90" s="55">
        <v>38</v>
      </c>
      <c r="B90" s="55">
        <v>31</v>
      </c>
      <c r="C90" s="48">
        <v>89</v>
      </c>
      <c r="D90" s="48" t="s">
        <v>39</v>
      </c>
      <c r="E90" s="48">
        <v>0</v>
      </c>
      <c r="F90" s="48">
        <v>0</v>
      </c>
      <c r="G90" s="48">
        <v>2</v>
      </c>
      <c r="H90" s="48">
        <v>5000</v>
      </c>
    </row>
    <row r="91" spans="1:15" ht="16.350000000000001" customHeight="1" x14ac:dyDescent="0.45">
      <c r="A91" s="55">
        <v>38</v>
      </c>
      <c r="B91" s="55">
        <v>32</v>
      </c>
      <c r="C91" s="48">
        <v>90</v>
      </c>
      <c r="D91" s="48" t="s">
        <v>1</v>
      </c>
      <c r="E91" s="48" t="s">
        <v>18</v>
      </c>
      <c r="F91" s="48" t="s">
        <v>100</v>
      </c>
      <c r="G91" s="48" t="s">
        <v>100</v>
      </c>
      <c r="H91" s="48" t="s">
        <v>100</v>
      </c>
      <c r="I91" s="48" t="s">
        <v>100</v>
      </c>
      <c r="J91" s="48" t="s">
        <v>758</v>
      </c>
      <c r="K91" s="48" t="s">
        <v>100</v>
      </c>
      <c r="L91" s="48" t="s">
        <v>19</v>
      </c>
      <c r="M91" s="48">
        <v>3.75</v>
      </c>
      <c r="N91" s="48">
        <v>2.8</v>
      </c>
    </row>
    <row r="92" spans="1:15" ht="16.350000000000001" customHeight="1" x14ac:dyDescent="0.45">
      <c r="A92" s="55">
        <v>38</v>
      </c>
      <c r="B92" s="55">
        <v>33</v>
      </c>
      <c r="C92" s="48">
        <v>91</v>
      </c>
      <c r="D92" s="48" t="s">
        <v>1</v>
      </c>
      <c r="E92" s="48" t="s">
        <v>18</v>
      </c>
      <c r="F92" s="48" t="s">
        <v>100</v>
      </c>
      <c r="G92" s="48" t="s">
        <v>100</v>
      </c>
      <c r="H92" s="48" t="s">
        <v>100</v>
      </c>
      <c r="I92" s="48" t="s">
        <v>743</v>
      </c>
      <c r="J92" s="48" t="s">
        <v>100</v>
      </c>
      <c r="K92" s="48" t="s">
        <v>100</v>
      </c>
      <c r="L92" s="48" t="s">
        <v>19</v>
      </c>
      <c r="M92" s="48">
        <v>3.75</v>
      </c>
      <c r="N92" s="48">
        <v>2.8</v>
      </c>
    </row>
    <row r="93" spans="1:15" ht="16.350000000000001" customHeight="1" x14ac:dyDescent="0.4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45">
      <c r="A94" s="55">
        <v>38</v>
      </c>
      <c r="B94" s="55">
        <v>35</v>
      </c>
      <c r="C94" s="48">
        <v>93</v>
      </c>
      <c r="D94" s="48" t="s">
        <v>1</v>
      </c>
      <c r="E94" s="48" t="s">
        <v>18</v>
      </c>
      <c r="F94" s="48" t="s">
        <v>100</v>
      </c>
      <c r="G94" s="48" t="s">
        <v>100</v>
      </c>
      <c r="H94" s="48" t="s">
        <v>100</v>
      </c>
      <c r="I94" s="48" t="s">
        <v>697</v>
      </c>
      <c r="J94" s="48" t="s">
        <v>100</v>
      </c>
      <c r="K94" s="48" t="s">
        <v>100</v>
      </c>
      <c r="L94" s="48" t="s">
        <v>19</v>
      </c>
      <c r="M94" s="48">
        <v>3.75</v>
      </c>
      <c r="N94" s="48">
        <v>2.8</v>
      </c>
    </row>
    <row r="95" spans="1:15" ht="16.350000000000001" customHeight="1" x14ac:dyDescent="0.45">
      <c r="A95" s="55">
        <v>38</v>
      </c>
      <c r="B95" s="55">
        <v>36</v>
      </c>
      <c r="C95" s="48">
        <v>94</v>
      </c>
      <c r="D95" s="48" t="s">
        <v>55</v>
      </c>
      <c r="E95" s="48" t="s">
        <v>776</v>
      </c>
      <c r="F95" s="48">
        <v>0</v>
      </c>
      <c r="G95" s="48">
        <v>16.399999999999999</v>
      </c>
      <c r="H95" s="48">
        <v>0</v>
      </c>
      <c r="I95" s="48">
        <v>1</v>
      </c>
    </row>
    <row r="96" spans="1:15" ht="16.350000000000001" customHeight="1" x14ac:dyDescent="0.45">
      <c r="A96" s="55">
        <v>38</v>
      </c>
      <c r="B96" s="55">
        <v>37</v>
      </c>
      <c r="C96" s="48">
        <v>95</v>
      </c>
      <c r="D96" s="48" t="s">
        <v>39</v>
      </c>
      <c r="E96" s="48">
        <v>0</v>
      </c>
      <c r="F96" s="48">
        <v>0</v>
      </c>
      <c r="G96" s="48">
        <v>4</v>
      </c>
      <c r="H96" s="48">
        <v>5000</v>
      </c>
    </row>
    <row r="97" spans="1:15" ht="16.350000000000001" customHeight="1" x14ac:dyDescent="0.45">
      <c r="A97" s="55">
        <v>38</v>
      </c>
      <c r="B97" s="55">
        <v>9</v>
      </c>
      <c r="C97" s="48">
        <v>96</v>
      </c>
      <c r="D97" s="48" t="s">
        <v>49</v>
      </c>
      <c r="E97" s="48" t="s">
        <v>203</v>
      </c>
      <c r="F97" s="48">
        <v>3</v>
      </c>
    </row>
    <row r="98" spans="1:15" ht="16.350000000000001" customHeight="1" x14ac:dyDescent="0.45">
      <c r="A98" s="55">
        <v>38</v>
      </c>
      <c r="B98" s="55">
        <v>10</v>
      </c>
      <c r="C98" s="48">
        <v>97</v>
      </c>
      <c r="D98" s="48" t="s">
        <v>1</v>
      </c>
      <c r="E98" s="48" t="s">
        <v>18</v>
      </c>
      <c r="F98" s="48">
        <v>140</v>
      </c>
      <c r="G98" s="48">
        <v>140</v>
      </c>
      <c r="H98" s="48">
        <v>12.0000000001</v>
      </c>
      <c r="I98" s="48" t="s">
        <v>100</v>
      </c>
      <c r="J98" s="48" t="s">
        <v>747</v>
      </c>
      <c r="K98" s="48" t="s">
        <v>100</v>
      </c>
      <c r="L98" s="48" t="s">
        <v>19</v>
      </c>
      <c r="M98" s="48">
        <v>3.75</v>
      </c>
      <c r="N98" s="48">
        <v>2.8</v>
      </c>
    </row>
    <row r="99" spans="1:15" ht="16.350000000000001" customHeight="1" x14ac:dyDescent="0.45">
      <c r="A99" s="55">
        <v>38</v>
      </c>
      <c r="B99" s="55">
        <v>11</v>
      </c>
      <c r="C99" s="48">
        <v>98</v>
      </c>
      <c r="D99" s="48" t="s">
        <v>1</v>
      </c>
      <c r="E99" s="48" t="s">
        <v>18</v>
      </c>
      <c r="F99" s="48" t="s">
        <v>100</v>
      </c>
      <c r="G99" s="48" t="s">
        <v>100</v>
      </c>
      <c r="H99" s="48" t="s">
        <v>100</v>
      </c>
      <c r="I99" s="48" t="s">
        <v>697</v>
      </c>
      <c r="J99" s="48" t="s">
        <v>100</v>
      </c>
      <c r="K99" s="48" t="s">
        <v>100</v>
      </c>
      <c r="L99" s="48" t="s">
        <v>19</v>
      </c>
      <c r="M99" s="48">
        <v>3.75</v>
      </c>
      <c r="N99" s="48">
        <v>2.8</v>
      </c>
    </row>
    <row r="100" spans="1:15" ht="16.350000000000001" customHeight="1" x14ac:dyDescent="0.45">
      <c r="A100" s="55">
        <v>38</v>
      </c>
      <c r="B100" s="55">
        <v>12</v>
      </c>
      <c r="C100" s="48">
        <v>99</v>
      </c>
      <c r="D100" s="48" t="s">
        <v>1</v>
      </c>
      <c r="E100" s="48" t="s">
        <v>18</v>
      </c>
      <c r="F100" s="48" t="s">
        <v>100</v>
      </c>
      <c r="G100" s="48" t="s">
        <v>100</v>
      </c>
      <c r="H100" s="48" t="s">
        <v>100</v>
      </c>
      <c r="I100" s="48" t="s">
        <v>100</v>
      </c>
      <c r="J100" s="48" t="s">
        <v>748</v>
      </c>
      <c r="K100" s="48" t="s">
        <v>100</v>
      </c>
      <c r="L100" s="48" t="s">
        <v>19</v>
      </c>
      <c r="M100" s="48">
        <v>3.75</v>
      </c>
      <c r="N100" s="48">
        <v>2.8</v>
      </c>
    </row>
    <row r="101" spans="1:15" ht="16.350000000000001" customHeight="1" x14ac:dyDescent="0.45">
      <c r="A101" s="55">
        <v>38</v>
      </c>
      <c r="B101" s="55">
        <v>13</v>
      </c>
      <c r="C101" s="48">
        <v>100</v>
      </c>
      <c r="D101" s="48" t="s">
        <v>1</v>
      </c>
      <c r="E101" s="48" t="s">
        <v>18</v>
      </c>
      <c r="F101" s="48" t="s">
        <v>100</v>
      </c>
      <c r="G101" s="48" t="s">
        <v>100</v>
      </c>
      <c r="H101" s="48" t="s">
        <v>100</v>
      </c>
      <c r="I101" s="48" t="s">
        <v>743</v>
      </c>
      <c r="J101" s="48" t="s">
        <v>100</v>
      </c>
      <c r="K101" s="48" t="s">
        <v>100</v>
      </c>
      <c r="L101" s="48" t="s">
        <v>19</v>
      </c>
      <c r="M101" s="48">
        <v>3.75</v>
      </c>
      <c r="N101" s="48">
        <v>2.8</v>
      </c>
    </row>
    <row r="102" spans="1:15" ht="16.350000000000001" customHeight="1" x14ac:dyDescent="0.45">
      <c r="A102" s="55">
        <v>38</v>
      </c>
      <c r="B102" s="55">
        <v>14</v>
      </c>
      <c r="C102" s="48">
        <v>101</v>
      </c>
      <c r="D102" s="48" t="s">
        <v>55</v>
      </c>
      <c r="E102" s="48" t="s">
        <v>759</v>
      </c>
      <c r="F102" s="48">
        <v>0</v>
      </c>
      <c r="G102" s="48">
        <v>-16.399999999999999</v>
      </c>
      <c r="H102" s="48">
        <v>0</v>
      </c>
      <c r="I102" s="48">
        <v>1</v>
      </c>
    </row>
    <row r="103" spans="1:15" ht="16.350000000000001" customHeight="1" x14ac:dyDescent="0.45">
      <c r="A103" s="55">
        <v>38</v>
      </c>
      <c r="B103" s="55">
        <v>15</v>
      </c>
      <c r="C103" s="48">
        <v>102</v>
      </c>
      <c r="D103" s="48" t="s">
        <v>39</v>
      </c>
      <c r="E103" s="48">
        <v>0</v>
      </c>
      <c r="F103" s="48">
        <v>0</v>
      </c>
      <c r="G103" s="48">
        <v>2</v>
      </c>
      <c r="H103" s="48">
        <v>5000</v>
      </c>
    </row>
    <row r="104" spans="1:15" ht="16.350000000000001" customHeight="1" x14ac:dyDescent="0.45">
      <c r="A104" s="55">
        <v>38</v>
      </c>
      <c r="B104" s="55">
        <v>16</v>
      </c>
      <c r="C104" s="48">
        <v>103</v>
      </c>
      <c r="D104" s="48" t="s">
        <v>1</v>
      </c>
      <c r="E104" s="48" t="s">
        <v>18</v>
      </c>
      <c r="F104" s="48" t="s">
        <v>100</v>
      </c>
      <c r="G104" s="48" t="s">
        <v>100</v>
      </c>
      <c r="H104" s="48" t="s">
        <v>100</v>
      </c>
      <c r="I104" s="48" t="s">
        <v>697</v>
      </c>
      <c r="J104" s="48" t="s">
        <v>100</v>
      </c>
      <c r="K104" s="48" t="s">
        <v>100</v>
      </c>
      <c r="L104" s="48" t="s">
        <v>19</v>
      </c>
      <c r="M104" s="48">
        <v>3.75</v>
      </c>
      <c r="N104" s="48">
        <v>2.8</v>
      </c>
      <c r="O104" s="56"/>
    </row>
    <row r="105" spans="1:15" ht="16.350000000000001" customHeight="1" x14ac:dyDescent="0.45">
      <c r="A105" s="55">
        <v>38</v>
      </c>
      <c r="B105" s="55">
        <v>17</v>
      </c>
      <c r="C105" s="48">
        <v>104</v>
      </c>
      <c r="D105" s="48" t="s">
        <v>1</v>
      </c>
      <c r="E105" s="48" t="s">
        <v>18</v>
      </c>
      <c r="F105" s="48" t="s">
        <v>100</v>
      </c>
      <c r="G105" s="48" t="s">
        <v>100</v>
      </c>
      <c r="H105" s="48" t="s">
        <v>100</v>
      </c>
      <c r="I105" s="48" t="s">
        <v>100</v>
      </c>
      <c r="J105" s="48" t="s">
        <v>750</v>
      </c>
      <c r="K105" s="48" t="s">
        <v>100</v>
      </c>
      <c r="L105" s="48" t="s">
        <v>19</v>
      </c>
      <c r="M105" s="48">
        <v>3.75</v>
      </c>
      <c r="N105" s="48">
        <v>2.8</v>
      </c>
    </row>
    <row r="106" spans="1:15" ht="16.350000000000001" customHeight="1" x14ac:dyDescent="0.45">
      <c r="A106" s="55">
        <v>38</v>
      </c>
      <c r="B106" s="55">
        <v>18</v>
      </c>
      <c r="C106" s="48">
        <v>105</v>
      </c>
      <c r="D106" s="48" t="s">
        <v>1</v>
      </c>
      <c r="E106" s="48" t="s">
        <v>18</v>
      </c>
      <c r="F106" s="48" t="s">
        <v>100</v>
      </c>
      <c r="G106" s="48" t="s">
        <v>100</v>
      </c>
      <c r="H106" s="48" t="s">
        <v>100</v>
      </c>
      <c r="I106" s="48" t="s">
        <v>743</v>
      </c>
      <c r="J106" s="48" t="s">
        <v>100</v>
      </c>
      <c r="K106" s="48" t="s">
        <v>100</v>
      </c>
      <c r="L106" s="48" t="s">
        <v>19</v>
      </c>
      <c r="M106" s="48">
        <v>3.75</v>
      </c>
      <c r="N106" s="48">
        <v>2.8</v>
      </c>
    </row>
    <row r="107" spans="1:15" ht="16.350000000000001" customHeight="1" x14ac:dyDescent="0.45">
      <c r="A107" s="55">
        <v>38</v>
      </c>
      <c r="B107" s="55">
        <v>19</v>
      </c>
      <c r="C107" s="48">
        <v>106</v>
      </c>
      <c r="D107" s="48" t="s">
        <v>1</v>
      </c>
      <c r="E107" s="48" t="s">
        <v>18</v>
      </c>
      <c r="F107" s="48" t="s">
        <v>100</v>
      </c>
      <c r="G107" s="48" t="s">
        <v>100</v>
      </c>
      <c r="H107" s="48" t="s">
        <v>100</v>
      </c>
      <c r="I107" s="48" t="s">
        <v>100</v>
      </c>
      <c r="J107" s="48" t="s">
        <v>751</v>
      </c>
      <c r="K107" s="48" t="s">
        <v>100</v>
      </c>
      <c r="L107" s="48" t="s">
        <v>19</v>
      </c>
      <c r="M107" s="48">
        <v>3.75</v>
      </c>
      <c r="N107" s="48">
        <v>2.8</v>
      </c>
    </row>
    <row r="108" spans="1:15" ht="16.350000000000001" customHeight="1" x14ac:dyDescent="0.45">
      <c r="A108" s="55">
        <v>38</v>
      </c>
      <c r="B108" s="55">
        <v>20</v>
      </c>
      <c r="C108" s="48">
        <v>107</v>
      </c>
      <c r="D108" s="48" t="s">
        <v>55</v>
      </c>
      <c r="E108" s="48" t="s">
        <v>753</v>
      </c>
      <c r="F108" s="48">
        <v>0</v>
      </c>
      <c r="G108" s="48">
        <v>16.399999999999999</v>
      </c>
      <c r="H108" s="48">
        <v>0</v>
      </c>
      <c r="I108" s="48">
        <v>1</v>
      </c>
    </row>
    <row r="109" spans="1:15" ht="16.350000000000001" customHeight="1" x14ac:dyDescent="0.45">
      <c r="A109" s="55">
        <v>38</v>
      </c>
      <c r="B109" s="55">
        <v>21</v>
      </c>
      <c r="C109" s="48">
        <v>108</v>
      </c>
      <c r="D109" s="48" t="s">
        <v>698</v>
      </c>
      <c r="E109" s="48">
        <v>0.35</v>
      </c>
      <c r="F109" s="48">
        <v>80</v>
      </c>
      <c r="G109" s="48">
        <v>4</v>
      </c>
      <c r="H109" s="48">
        <v>5000</v>
      </c>
    </row>
    <row r="110" spans="1:15" ht="16.350000000000001" customHeight="1" x14ac:dyDescent="0.45">
      <c r="A110" s="55">
        <v>38</v>
      </c>
      <c r="B110" s="55">
        <v>22</v>
      </c>
      <c r="C110" s="48">
        <v>109</v>
      </c>
      <c r="D110" s="48" t="s">
        <v>49</v>
      </c>
      <c r="E110" s="48" t="s">
        <v>203</v>
      </c>
      <c r="F110" s="48">
        <v>2</v>
      </c>
    </row>
    <row r="111" spans="1:15" ht="16.350000000000001" customHeight="1" x14ac:dyDescent="0.4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45">
      <c r="A112" s="55">
        <v>38</v>
      </c>
      <c r="B112" s="55">
        <v>24</v>
      </c>
      <c r="C112" s="48">
        <v>111</v>
      </c>
      <c r="D112" s="48" t="s">
        <v>172</v>
      </c>
      <c r="E112" s="48" t="s">
        <v>712</v>
      </c>
      <c r="F112" s="48">
        <v>155</v>
      </c>
      <c r="G112" s="48" t="s">
        <v>754</v>
      </c>
      <c r="H112" s="48">
        <v>0</v>
      </c>
      <c r="I112" s="48">
        <v>1</v>
      </c>
      <c r="J112" s="48">
        <v>1</v>
      </c>
      <c r="K112" s="48">
        <v>3.75</v>
      </c>
      <c r="L112" s="48">
        <v>2.8</v>
      </c>
    </row>
    <row r="113" spans="1:15" ht="16.350000000000001" customHeight="1" x14ac:dyDescent="0.4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45">
      <c r="A114" s="55">
        <v>38</v>
      </c>
      <c r="B114" s="55">
        <v>26</v>
      </c>
      <c r="C114" s="48">
        <v>113</v>
      </c>
      <c r="D114" s="48" t="s">
        <v>1</v>
      </c>
      <c r="E114" s="48" t="s">
        <v>18</v>
      </c>
      <c r="F114" s="48" t="s">
        <v>100</v>
      </c>
      <c r="G114" s="48" t="s">
        <v>100</v>
      </c>
      <c r="H114" s="48" t="s">
        <v>100</v>
      </c>
      <c r="I114" s="48" t="s">
        <v>743</v>
      </c>
      <c r="J114" s="48" t="s">
        <v>100</v>
      </c>
      <c r="K114" s="48" t="s">
        <v>100</v>
      </c>
      <c r="L114" s="48" t="s">
        <v>19</v>
      </c>
      <c r="M114" s="48">
        <v>3.75</v>
      </c>
      <c r="N114" s="48">
        <v>2.8</v>
      </c>
    </row>
    <row r="115" spans="1:15" ht="16.350000000000001" customHeight="1" x14ac:dyDescent="0.45">
      <c r="A115" s="55">
        <v>38</v>
      </c>
      <c r="B115" s="55">
        <v>27</v>
      </c>
      <c r="C115" s="48">
        <v>114</v>
      </c>
      <c r="D115" s="48" t="s">
        <v>1</v>
      </c>
      <c r="E115" s="48" t="s">
        <v>18</v>
      </c>
      <c r="F115" s="48" t="s">
        <v>100</v>
      </c>
      <c r="G115" s="48" t="s">
        <v>100</v>
      </c>
      <c r="H115" s="48" t="s">
        <v>100</v>
      </c>
      <c r="I115" s="48" t="s">
        <v>100</v>
      </c>
      <c r="J115" s="48" t="s">
        <v>744</v>
      </c>
      <c r="K115" s="48" t="s">
        <v>100</v>
      </c>
      <c r="L115" s="48" t="s">
        <v>19</v>
      </c>
      <c r="M115" s="48">
        <v>3.75</v>
      </c>
      <c r="N115" s="48">
        <v>2.8</v>
      </c>
      <c r="O115" s="56"/>
    </row>
    <row r="116" spans="1:15" ht="16.350000000000001" customHeight="1" x14ac:dyDescent="0.45">
      <c r="A116" s="55">
        <v>38</v>
      </c>
      <c r="B116" s="55">
        <v>28</v>
      </c>
      <c r="C116" s="48">
        <v>115</v>
      </c>
      <c r="D116" s="48" t="s">
        <v>1</v>
      </c>
      <c r="E116" s="48" t="s">
        <v>18</v>
      </c>
      <c r="F116" s="48" t="s">
        <v>100</v>
      </c>
      <c r="G116" s="48" t="s">
        <v>100</v>
      </c>
      <c r="H116" s="48" t="s">
        <v>100</v>
      </c>
      <c r="I116" s="48" t="s">
        <v>697</v>
      </c>
      <c r="J116" s="48" t="s">
        <v>100</v>
      </c>
      <c r="K116" s="48" t="s">
        <v>100</v>
      </c>
      <c r="L116" s="48" t="s">
        <v>19</v>
      </c>
      <c r="M116" s="48">
        <v>3.75</v>
      </c>
      <c r="N116" s="48">
        <v>2.8</v>
      </c>
    </row>
    <row r="117" spans="1:15" ht="16.350000000000001" customHeight="1" x14ac:dyDescent="0.45">
      <c r="A117" s="55">
        <v>38</v>
      </c>
      <c r="B117" s="55">
        <v>29</v>
      </c>
      <c r="C117" s="48">
        <v>116</v>
      </c>
      <c r="D117" s="48" t="s">
        <v>1</v>
      </c>
      <c r="E117" s="48" t="s">
        <v>18</v>
      </c>
      <c r="F117" s="48" t="s">
        <v>100</v>
      </c>
      <c r="G117" s="48" t="s">
        <v>100</v>
      </c>
      <c r="H117" s="48" t="s">
        <v>100</v>
      </c>
      <c r="I117" s="48" t="s">
        <v>100</v>
      </c>
      <c r="J117" s="48" t="s">
        <v>745</v>
      </c>
      <c r="K117" s="48" t="s">
        <v>100</v>
      </c>
      <c r="L117" s="48" t="s">
        <v>19</v>
      </c>
      <c r="M117" s="48">
        <v>3.75</v>
      </c>
      <c r="N117" s="48">
        <v>2.8</v>
      </c>
    </row>
    <row r="118" spans="1:15" ht="16.350000000000001" customHeight="1" x14ac:dyDescent="0.45">
      <c r="A118" s="55">
        <v>38</v>
      </c>
      <c r="B118" s="55">
        <v>30</v>
      </c>
      <c r="C118" s="48">
        <v>117</v>
      </c>
      <c r="D118" s="48" t="s">
        <v>55</v>
      </c>
      <c r="E118" s="48" t="s">
        <v>777</v>
      </c>
      <c r="F118" s="48">
        <v>0</v>
      </c>
      <c r="G118" s="48">
        <v>-16.399999999999999</v>
      </c>
      <c r="H118" s="48">
        <v>0</v>
      </c>
      <c r="I118" s="48">
        <v>1</v>
      </c>
    </row>
    <row r="119" spans="1:15" ht="16.350000000000001" customHeight="1" x14ac:dyDescent="0.45">
      <c r="A119" s="55">
        <v>38</v>
      </c>
      <c r="B119" s="55">
        <v>31</v>
      </c>
      <c r="C119" s="48">
        <v>118</v>
      </c>
      <c r="D119" s="48" t="s">
        <v>39</v>
      </c>
      <c r="E119" s="48">
        <v>0</v>
      </c>
      <c r="F119" s="48">
        <v>0</v>
      </c>
      <c r="G119" s="48">
        <v>2</v>
      </c>
      <c r="H119" s="48">
        <v>5000</v>
      </c>
    </row>
    <row r="120" spans="1:15" ht="16.350000000000001" customHeight="1" x14ac:dyDescent="0.45">
      <c r="A120" s="55">
        <v>38</v>
      </c>
      <c r="B120" s="55">
        <v>32</v>
      </c>
      <c r="C120" s="48">
        <v>119</v>
      </c>
      <c r="D120" s="48" t="s">
        <v>1</v>
      </c>
      <c r="E120" s="48" t="s">
        <v>18</v>
      </c>
      <c r="F120" s="48" t="s">
        <v>100</v>
      </c>
      <c r="G120" s="48" t="s">
        <v>100</v>
      </c>
      <c r="H120" s="48" t="s">
        <v>100</v>
      </c>
      <c r="I120" s="48" t="s">
        <v>100</v>
      </c>
      <c r="J120" s="48" t="s">
        <v>758</v>
      </c>
      <c r="K120" s="48" t="s">
        <v>100</v>
      </c>
      <c r="L120" s="48" t="s">
        <v>19</v>
      </c>
      <c r="M120" s="48">
        <v>3.75</v>
      </c>
      <c r="N120" s="48">
        <v>2.8</v>
      </c>
    </row>
    <row r="121" spans="1:15" ht="16.350000000000001" customHeight="1" x14ac:dyDescent="0.45">
      <c r="A121" s="55">
        <v>38</v>
      </c>
      <c r="B121" s="55">
        <v>33</v>
      </c>
      <c r="C121" s="48">
        <v>120</v>
      </c>
      <c r="D121" s="48" t="s">
        <v>1</v>
      </c>
      <c r="E121" s="48" t="s">
        <v>18</v>
      </c>
      <c r="F121" s="48" t="s">
        <v>100</v>
      </c>
      <c r="G121" s="48" t="s">
        <v>100</v>
      </c>
      <c r="H121" s="48" t="s">
        <v>100</v>
      </c>
      <c r="I121" s="48" t="s">
        <v>743</v>
      </c>
      <c r="J121" s="48" t="s">
        <v>100</v>
      </c>
      <c r="K121" s="48" t="s">
        <v>100</v>
      </c>
      <c r="L121" s="48" t="s">
        <v>19</v>
      </c>
      <c r="M121" s="48">
        <v>3.75</v>
      </c>
      <c r="N121" s="48">
        <v>2.8</v>
      </c>
    </row>
    <row r="122" spans="1:15" ht="16.350000000000001" customHeight="1" x14ac:dyDescent="0.4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45">
      <c r="A123" s="55">
        <v>38</v>
      </c>
      <c r="B123" s="55">
        <v>35</v>
      </c>
      <c r="C123" s="48">
        <v>122</v>
      </c>
      <c r="D123" s="48" t="s">
        <v>1</v>
      </c>
      <c r="E123" s="48" t="s">
        <v>18</v>
      </c>
      <c r="F123" s="48" t="s">
        <v>100</v>
      </c>
      <c r="G123" s="48" t="s">
        <v>100</v>
      </c>
      <c r="H123" s="48" t="s">
        <v>100</v>
      </c>
      <c r="I123" s="48" t="s">
        <v>697</v>
      </c>
      <c r="J123" s="48" t="s">
        <v>100</v>
      </c>
      <c r="K123" s="48" t="s">
        <v>100</v>
      </c>
      <c r="L123" s="48" t="s">
        <v>19</v>
      </c>
      <c r="M123" s="48">
        <v>3.75</v>
      </c>
      <c r="N123" s="48">
        <v>2.8</v>
      </c>
    </row>
    <row r="124" spans="1:15" ht="16.350000000000001" customHeight="1" x14ac:dyDescent="0.45">
      <c r="A124" s="55">
        <v>38</v>
      </c>
      <c r="B124" s="55">
        <v>36</v>
      </c>
      <c r="C124" s="48">
        <v>123</v>
      </c>
      <c r="D124" s="48" t="s">
        <v>55</v>
      </c>
      <c r="E124" s="48" t="s">
        <v>778</v>
      </c>
      <c r="F124" s="48">
        <v>0</v>
      </c>
      <c r="G124" s="48">
        <v>16.399999999999999</v>
      </c>
      <c r="H124" s="48">
        <v>0</v>
      </c>
      <c r="I124" s="48">
        <v>1</v>
      </c>
    </row>
    <row r="125" spans="1:15" ht="16.350000000000001" customHeight="1" x14ac:dyDescent="0.45">
      <c r="A125" s="55">
        <v>38</v>
      </c>
      <c r="B125" s="55">
        <v>37</v>
      </c>
      <c r="C125" s="48">
        <v>124</v>
      </c>
      <c r="D125" s="48" t="s">
        <v>39</v>
      </c>
      <c r="E125" s="48">
        <v>0</v>
      </c>
      <c r="F125" s="48">
        <v>0</v>
      </c>
      <c r="G125" s="48">
        <v>4</v>
      </c>
      <c r="H125" s="48">
        <v>5000</v>
      </c>
    </row>
    <row r="126" spans="1:15" ht="16.350000000000001" customHeight="1" x14ac:dyDescent="0.45">
      <c r="A126" s="55">
        <v>38</v>
      </c>
      <c r="B126" s="55">
        <v>9</v>
      </c>
      <c r="C126" s="48">
        <v>125</v>
      </c>
      <c r="D126" s="48" t="s">
        <v>49</v>
      </c>
      <c r="E126" s="48" t="s">
        <v>203</v>
      </c>
      <c r="F126" s="48">
        <v>3</v>
      </c>
      <c r="O126" s="56"/>
    </row>
    <row r="127" spans="1:15" ht="16.350000000000001" customHeight="1" x14ac:dyDescent="0.45">
      <c r="A127" s="55">
        <v>38</v>
      </c>
      <c r="B127" s="55">
        <v>10</v>
      </c>
      <c r="C127" s="48">
        <v>126</v>
      </c>
      <c r="D127" s="48" t="s">
        <v>1</v>
      </c>
      <c r="E127" s="48" t="s">
        <v>18</v>
      </c>
      <c r="F127" s="48">
        <v>140</v>
      </c>
      <c r="G127" s="48">
        <v>140</v>
      </c>
      <c r="H127" s="48">
        <v>16.000000000099998</v>
      </c>
      <c r="I127" s="48" t="s">
        <v>100</v>
      </c>
      <c r="J127" s="48" t="s">
        <v>747</v>
      </c>
      <c r="K127" s="48" t="s">
        <v>100</v>
      </c>
      <c r="L127" s="48" t="s">
        <v>19</v>
      </c>
      <c r="M127" s="48">
        <v>3.75</v>
      </c>
      <c r="N127" s="48">
        <v>2.8</v>
      </c>
    </row>
    <row r="128" spans="1:15" ht="16.350000000000001" customHeight="1" x14ac:dyDescent="0.45">
      <c r="A128" s="55">
        <v>38</v>
      </c>
      <c r="B128" s="55">
        <v>11</v>
      </c>
      <c r="C128" s="48">
        <v>127</v>
      </c>
      <c r="D128" s="48" t="s">
        <v>1</v>
      </c>
      <c r="E128" s="48" t="s">
        <v>18</v>
      </c>
      <c r="F128" s="48" t="s">
        <v>100</v>
      </c>
      <c r="G128" s="48" t="s">
        <v>100</v>
      </c>
      <c r="H128" s="48" t="s">
        <v>100</v>
      </c>
      <c r="I128" s="48" t="s">
        <v>697</v>
      </c>
      <c r="J128" s="48" t="s">
        <v>100</v>
      </c>
      <c r="K128" s="48" t="s">
        <v>100</v>
      </c>
      <c r="L128" s="48" t="s">
        <v>19</v>
      </c>
      <c r="M128" s="48">
        <v>3.75</v>
      </c>
      <c r="N128" s="48">
        <v>2.8</v>
      </c>
    </row>
    <row r="129" spans="1:15" ht="16.350000000000001" customHeight="1" x14ac:dyDescent="0.45">
      <c r="A129" s="55">
        <v>38</v>
      </c>
      <c r="B129" s="55">
        <v>12</v>
      </c>
      <c r="C129" s="48">
        <v>128</v>
      </c>
      <c r="D129" s="48" t="s">
        <v>1</v>
      </c>
      <c r="E129" s="48" t="s">
        <v>18</v>
      </c>
      <c r="F129" s="48" t="s">
        <v>100</v>
      </c>
      <c r="G129" s="48" t="s">
        <v>100</v>
      </c>
      <c r="H129" s="48" t="s">
        <v>100</v>
      </c>
      <c r="I129" s="48" t="s">
        <v>100</v>
      </c>
      <c r="J129" s="48" t="s">
        <v>748</v>
      </c>
      <c r="K129" s="48" t="s">
        <v>100</v>
      </c>
      <c r="L129" s="48" t="s">
        <v>19</v>
      </c>
      <c r="M129" s="48">
        <v>3.75</v>
      </c>
      <c r="N129" s="48">
        <v>2.8</v>
      </c>
    </row>
    <row r="130" spans="1:15" ht="16.350000000000001" customHeight="1" x14ac:dyDescent="0.45">
      <c r="A130" s="55">
        <v>38</v>
      </c>
      <c r="B130" s="55">
        <v>13</v>
      </c>
      <c r="C130" s="48">
        <v>129</v>
      </c>
      <c r="D130" s="48" t="s">
        <v>1</v>
      </c>
      <c r="E130" s="48" t="s">
        <v>18</v>
      </c>
      <c r="F130" s="48" t="s">
        <v>100</v>
      </c>
      <c r="G130" s="48" t="s">
        <v>100</v>
      </c>
      <c r="H130" s="48" t="s">
        <v>100</v>
      </c>
      <c r="I130" s="48" t="s">
        <v>743</v>
      </c>
      <c r="J130" s="48" t="s">
        <v>100</v>
      </c>
      <c r="K130" s="48" t="s">
        <v>100</v>
      </c>
      <c r="L130" s="48" t="s">
        <v>19</v>
      </c>
      <c r="M130" s="48">
        <v>3.75</v>
      </c>
      <c r="N130" s="48">
        <v>2.8</v>
      </c>
    </row>
    <row r="131" spans="1:15" ht="16.350000000000001" customHeight="1" x14ac:dyDescent="0.45">
      <c r="A131" s="55">
        <v>38</v>
      </c>
      <c r="B131" s="55">
        <v>14</v>
      </c>
      <c r="C131" s="48">
        <v>130</v>
      </c>
      <c r="D131" s="48" t="s">
        <v>55</v>
      </c>
      <c r="E131" s="48" t="s">
        <v>779</v>
      </c>
      <c r="F131" s="48">
        <v>0</v>
      </c>
      <c r="G131" s="48">
        <v>-16.399999999999999</v>
      </c>
      <c r="H131" s="48">
        <v>0</v>
      </c>
      <c r="I131" s="48">
        <v>1</v>
      </c>
    </row>
    <row r="132" spans="1:15" ht="16.350000000000001" customHeight="1" x14ac:dyDescent="0.45">
      <c r="A132" s="55">
        <v>38</v>
      </c>
      <c r="B132" s="55">
        <v>15</v>
      </c>
      <c r="C132" s="48">
        <v>131</v>
      </c>
      <c r="D132" s="48" t="s">
        <v>39</v>
      </c>
      <c r="E132" s="48">
        <v>0</v>
      </c>
      <c r="F132" s="48">
        <v>0</v>
      </c>
      <c r="G132" s="48">
        <v>2</v>
      </c>
      <c r="H132" s="48">
        <v>5000</v>
      </c>
    </row>
    <row r="133" spans="1:15" ht="16.350000000000001" customHeight="1" x14ac:dyDescent="0.45">
      <c r="A133" s="55">
        <v>38</v>
      </c>
      <c r="B133" s="55">
        <v>16</v>
      </c>
      <c r="C133" s="48">
        <v>132</v>
      </c>
      <c r="D133" s="48" t="s">
        <v>1</v>
      </c>
      <c r="E133" s="48" t="s">
        <v>18</v>
      </c>
      <c r="F133" s="48" t="s">
        <v>100</v>
      </c>
      <c r="G133" s="48" t="s">
        <v>100</v>
      </c>
      <c r="H133" s="48" t="s">
        <v>100</v>
      </c>
      <c r="I133" s="48" t="s">
        <v>697</v>
      </c>
      <c r="J133" s="48" t="s">
        <v>100</v>
      </c>
      <c r="K133" s="48" t="s">
        <v>100</v>
      </c>
      <c r="L133" s="48" t="s">
        <v>19</v>
      </c>
      <c r="M133" s="48">
        <v>3.75</v>
      </c>
      <c r="N133" s="48">
        <v>2.8</v>
      </c>
    </row>
    <row r="134" spans="1:15" ht="16.350000000000001" customHeight="1" x14ac:dyDescent="0.45">
      <c r="A134" s="55">
        <v>38</v>
      </c>
      <c r="B134" s="55">
        <v>17</v>
      </c>
      <c r="C134" s="48">
        <v>133</v>
      </c>
      <c r="D134" s="48" t="s">
        <v>1</v>
      </c>
      <c r="E134" s="48" t="s">
        <v>18</v>
      </c>
      <c r="F134" s="48" t="s">
        <v>100</v>
      </c>
      <c r="G134" s="48" t="s">
        <v>100</v>
      </c>
      <c r="H134" s="48" t="s">
        <v>100</v>
      </c>
      <c r="I134" s="48" t="s">
        <v>100</v>
      </c>
      <c r="J134" s="48" t="s">
        <v>750</v>
      </c>
      <c r="K134" s="48" t="s">
        <v>100</v>
      </c>
      <c r="L134" s="48" t="s">
        <v>19</v>
      </c>
      <c r="M134" s="48">
        <v>3.75</v>
      </c>
      <c r="N134" s="48">
        <v>2.8</v>
      </c>
    </row>
    <row r="135" spans="1:15" ht="16.350000000000001" customHeight="1" x14ac:dyDescent="0.45">
      <c r="A135" s="55">
        <v>38</v>
      </c>
      <c r="B135" s="55">
        <v>18</v>
      </c>
      <c r="C135" s="48">
        <v>134</v>
      </c>
      <c r="D135" s="48" t="s">
        <v>1</v>
      </c>
      <c r="E135" s="48" t="s">
        <v>18</v>
      </c>
      <c r="F135" s="48" t="s">
        <v>100</v>
      </c>
      <c r="G135" s="48" t="s">
        <v>100</v>
      </c>
      <c r="H135" s="48" t="s">
        <v>100</v>
      </c>
      <c r="I135" s="48" t="s">
        <v>743</v>
      </c>
      <c r="J135" s="48" t="s">
        <v>100</v>
      </c>
      <c r="K135" s="48" t="s">
        <v>100</v>
      </c>
      <c r="L135" s="48" t="s">
        <v>19</v>
      </c>
      <c r="M135" s="48">
        <v>3.75</v>
      </c>
      <c r="N135" s="48">
        <v>2.8</v>
      </c>
    </row>
    <row r="136" spans="1:15" ht="16.350000000000001" customHeight="1" x14ac:dyDescent="0.45">
      <c r="A136" s="55">
        <v>38</v>
      </c>
      <c r="B136" s="55">
        <v>19</v>
      </c>
      <c r="C136" s="48">
        <v>135</v>
      </c>
      <c r="D136" s="48" t="s">
        <v>1</v>
      </c>
      <c r="E136" s="48" t="s">
        <v>18</v>
      </c>
      <c r="F136" s="48" t="s">
        <v>100</v>
      </c>
      <c r="G136" s="48" t="s">
        <v>100</v>
      </c>
      <c r="H136" s="48" t="s">
        <v>100</v>
      </c>
      <c r="I136" s="48" t="s">
        <v>100</v>
      </c>
      <c r="J136" s="48" t="s">
        <v>751</v>
      </c>
      <c r="K136" s="48" t="s">
        <v>100</v>
      </c>
      <c r="L136" s="48" t="s">
        <v>19</v>
      </c>
      <c r="M136" s="48">
        <v>3.75</v>
      </c>
      <c r="N136" s="48">
        <v>2.8</v>
      </c>
    </row>
    <row r="137" spans="1:15" ht="16.350000000000001" customHeight="1" x14ac:dyDescent="0.45">
      <c r="A137" s="55">
        <v>38</v>
      </c>
      <c r="B137" s="55">
        <v>20</v>
      </c>
      <c r="C137" s="48">
        <v>136</v>
      </c>
      <c r="D137" s="48" t="s">
        <v>55</v>
      </c>
      <c r="E137" s="48" t="s">
        <v>780</v>
      </c>
      <c r="F137" s="48">
        <v>0</v>
      </c>
      <c r="G137" s="48">
        <v>16.399999999999999</v>
      </c>
      <c r="H137" s="48">
        <v>0</v>
      </c>
      <c r="I137" s="48">
        <v>1</v>
      </c>
      <c r="O137" s="56"/>
    </row>
    <row r="138" spans="1:15" ht="16.350000000000001" customHeight="1" x14ac:dyDescent="0.45">
      <c r="A138" s="55">
        <v>38</v>
      </c>
      <c r="B138" s="55">
        <v>21</v>
      </c>
      <c r="C138" s="48">
        <v>137</v>
      </c>
      <c r="D138" s="48" t="s">
        <v>698</v>
      </c>
      <c r="E138" s="48">
        <v>0.35</v>
      </c>
      <c r="F138" s="48">
        <v>80</v>
      </c>
      <c r="G138" s="48">
        <v>4</v>
      </c>
      <c r="H138" s="48">
        <v>5000</v>
      </c>
    </row>
    <row r="139" spans="1:15" ht="16.350000000000001" customHeight="1" x14ac:dyDescent="0.45">
      <c r="A139" s="55">
        <v>38</v>
      </c>
      <c r="B139" s="55">
        <v>22</v>
      </c>
      <c r="C139" s="48">
        <v>138</v>
      </c>
      <c r="D139" s="48" t="s">
        <v>49</v>
      </c>
      <c r="E139" s="48" t="s">
        <v>203</v>
      </c>
      <c r="F139" s="48">
        <v>2</v>
      </c>
    </row>
    <row r="140" spans="1:15" ht="16.350000000000001" customHeight="1" x14ac:dyDescent="0.4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45">
      <c r="A141" s="55">
        <v>38</v>
      </c>
      <c r="B141" s="55">
        <v>24</v>
      </c>
      <c r="C141" s="48">
        <v>140</v>
      </c>
      <c r="D141" s="48" t="s">
        <v>172</v>
      </c>
      <c r="E141" s="48" t="s">
        <v>712</v>
      </c>
      <c r="F141" s="48">
        <v>155</v>
      </c>
      <c r="G141" s="48" t="s">
        <v>755</v>
      </c>
      <c r="H141" s="48">
        <v>0</v>
      </c>
      <c r="I141" s="48">
        <v>1</v>
      </c>
      <c r="J141" s="48">
        <v>1</v>
      </c>
      <c r="K141" s="48">
        <v>3.75</v>
      </c>
      <c r="L141" s="48">
        <v>2.8</v>
      </c>
    </row>
    <row r="142" spans="1:15" ht="16.350000000000001" customHeight="1" x14ac:dyDescent="0.4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45">
      <c r="A143" s="55">
        <v>38</v>
      </c>
      <c r="B143" s="55">
        <v>26</v>
      </c>
      <c r="C143" s="48">
        <v>142</v>
      </c>
      <c r="D143" s="48" t="s">
        <v>1</v>
      </c>
      <c r="E143" s="48" t="s">
        <v>18</v>
      </c>
      <c r="F143" s="48" t="s">
        <v>100</v>
      </c>
      <c r="G143" s="48" t="s">
        <v>100</v>
      </c>
      <c r="H143" s="48" t="s">
        <v>100</v>
      </c>
      <c r="I143" s="48" t="s">
        <v>743</v>
      </c>
      <c r="J143" s="48" t="s">
        <v>100</v>
      </c>
      <c r="K143" s="48" t="s">
        <v>100</v>
      </c>
      <c r="L143" s="48" t="s">
        <v>19</v>
      </c>
      <c r="M143" s="48">
        <v>3.75</v>
      </c>
      <c r="N143" s="48">
        <v>2.8</v>
      </c>
    </row>
    <row r="144" spans="1:15" ht="16.350000000000001" customHeight="1" x14ac:dyDescent="0.45">
      <c r="A144" s="55">
        <v>38</v>
      </c>
      <c r="B144" s="55">
        <v>27</v>
      </c>
      <c r="C144" s="48">
        <v>143</v>
      </c>
      <c r="D144" s="48" t="s">
        <v>1</v>
      </c>
      <c r="E144" s="48" t="s">
        <v>18</v>
      </c>
      <c r="F144" s="48" t="s">
        <v>100</v>
      </c>
      <c r="G144" s="48" t="s">
        <v>100</v>
      </c>
      <c r="H144" s="48" t="s">
        <v>100</v>
      </c>
      <c r="I144" s="48" t="s">
        <v>100</v>
      </c>
      <c r="J144" s="48" t="s">
        <v>744</v>
      </c>
      <c r="K144" s="48" t="s">
        <v>100</v>
      </c>
      <c r="L144" s="48" t="s">
        <v>19</v>
      </c>
      <c r="M144" s="48">
        <v>3.75</v>
      </c>
      <c r="N144" s="48">
        <v>2.8</v>
      </c>
    </row>
    <row r="145" spans="1:15" ht="16.350000000000001" customHeight="1" x14ac:dyDescent="0.45">
      <c r="A145" s="55">
        <v>38</v>
      </c>
      <c r="B145" s="55">
        <v>28</v>
      </c>
      <c r="C145" s="48">
        <v>144</v>
      </c>
      <c r="D145" s="48" t="s">
        <v>1</v>
      </c>
      <c r="E145" s="48" t="s">
        <v>18</v>
      </c>
      <c r="F145" s="48" t="s">
        <v>100</v>
      </c>
      <c r="G145" s="48" t="s">
        <v>100</v>
      </c>
      <c r="H145" s="48" t="s">
        <v>100</v>
      </c>
      <c r="I145" s="48" t="s">
        <v>697</v>
      </c>
      <c r="J145" s="48" t="s">
        <v>100</v>
      </c>
      <c r="K145" s="48" t="s">
        <v>100</v>
      </c>
      <c r="L145" s="48" t="s">
        <v>19</v>
      </c>
      <c r="M145" s="48">
        <v>3.75</v>
      </c>
      <c r="N145" s="48">
        <v>2.8</v>
      </c>
    </row>
    <row r="146" spans="1:15" ht="16.350000000000001" customHeight="1" x14ac:dyDescent="0.45">
      <c r="A146" s="55">
        <v>38</v>
      </c>
      <c r="B146" s="55">
        <v>29</v>
      </c>
      <c r="C146" s="48">
        <v>145</v>
      </c>
      <c r="D146" s="48" t="s">
        <v>1</v>
      </c>
      <c r="E146" s="48" t="s">
        <v>18</v>
      </c>
      <c r="F146" s="48" t="s">
        <v>100</v>
      </c>
      <c r="G146" s="48" t="s">
        <v>100</v>
      </c>
      <c r="H146" s="48" t="s">
        <v>100</v>
      </c>
      <c r="I146" s="48" t="s">
        <v>100</v>
      </c>
      <c r="J146" s="48" t="s">
        <v>745</v>
      </c>
      <c r="K146" s="48" t="s">
        <v>100</v>
      </c>
      <c r="L146" s="48" t="s">
        <v>19</v>
      </c>
      <c r="M146" s="48">
        <v>3.75</v>
      </c>
      <c r="N146" s="48">
        <v>2.8</v>
      </c>
    </row>
    <row r="147" spans="1:15" ht="16.350000000000001" customHeight="1" x14ac:dyDescent="0.45">
      <c r="A147" s="55">
        <v>38</v>
      </c>
      <c r="B147" s="55">
        <v>30</v>
      </c>
      <c r="C147" s="48">
        <v>146</v>
      </c>
      <c r="D147" s="48" t="s">
        <v>55</v>
      </c>
      <c r="E147" s="48" t="s">
        <v>781</v>
      </c>
      <c r="F147" s="48">
        <v>0</v>
      </c>
      <c r="G147" s="48">
        <v>-16.399999999999999</v>
      </c>
      <c r="H147" s="48">
        <v>0</v>
      </c>
      <c r="I147" s="48">
        <v>1</v>
      </c>
    </row>
    <row r="148" spans="1:15" ht="16.350000000000001" customHeight="1" x14ac:dyDescent="0.45">
      <c r="A148" s="55">
        <v>38</v>
      </c>
      <c r="B148" s="55">
        <v>31</v>
      </c>
      <c r="C148" s="48">
        <v>147</v>
      </c>
      <c r="D148" s="48" t="s">
        <v>39</v>
      </c>
      <c r="E148" s="48">
        <v>0</v>
      </c>
      <c r="F148" s="48">
        <v>0</v>
      </c>
      <c r="G148" s="48">
        <v>2</v>
      </c>
      <c r="H148" s="48">
        <v>5000</v>
      </c>
      <c r="O148" s="56"/>
    </row>
    <row r="149" spans="1:15" ht="16.350000000000001" customHeight="1" x14ac:dyDescent="0.45">
      <c r="A149" s="55">
        <v>38</v>
      </c>
      <c r="B149" s="55">
        <v>32</v>
      </c>
      <c r="C149" s="48">
        <v>148</v>
      </c>
      <c r="D149" s="48" t="s">
        <v>1</v>
      </c>
      <c r="E149" s="48" t="s">
        <v>18</v>
      </c>
      <c r="F149" s="48" t="s">
        <v>100</v>
      </c>
      <c r="G149" s="48" t="s">
        <v>100</v>
      </c>
      <c r="H149" s="48" t="s">
        <v>100</v>
      </c>
      <c r="I149" s="48" t="s">
        <v>100</v>
      </c>
      <c r="J149" s="48" t="s">
        <v>758</v>
      </c>
      <c r="K149" s="48" t="s">
        <v>100</v>
      </c>
      <c r="L149" s="48" t="s">
        <v>19</v>
      </c>
      <c r="M149" s="48">
        <v>3.75</v>
      </c>
      <c r="N149" s="48">
        <v>2.8</v>
      </c>
    </row>
    <row r="150" spans="1:15" ht="16.350000000000001" customHeight="1" x14ac:dyDescent="0.45">
      <c r="A150" s="55">
        <v>38</v>
      </c>
      <c r="B150" s="55">
        <v>33</v>
      </c>
      <c r="C150" s="48">
        <v>149</v>
      </c>
      <c r="D150" s="48" t="s">
        <v>1</v>
      </c>
      <c r="E150" s="48" t="s">
        <v>18</v>
      </c>
      <c r="F150" s="48" t="s">
        <v>100</v>
      </c>
      <c r="G150" s="48" t="s">
        <v>100</v>
      </c>
      <c r="H150" s="48" t="s">
        <v>100</v>
      </c>
      <c r="I150" s="48" t="s">
        <v>743</v>
      </c>
      <c r="J150" s="48" t="s">
        <v>100</v>
      </c>
      <c r="K150" s="48" t="s">
        <v>100</v>
      </c>
      <c r="L150" s="48" t="s">
        <v>19</v>
      </c>
      <c r="M150" s="48">
        <v>3.75</v>
      </c>
      <c r="N150" s="48">
        <v>2.8</v>
      </c>
    </row>
    <row r="151" spans="1:15" ht="16.350000000000001" customHeight="1" x14ac:dyDescent="0.4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45">
      <c r="A152" s="55">
        <v>38</v>
      </c>
      <c r="B152" s="55">
        <v>35</v>
      </c>
      <c r="C152" s="48">
        <v>151</v>
      </c>
      <c r="D152" s="48" t="s">
        <v>1</v>
      </c>
      <c r="E152" s="48" t="s">
        <v>18</v>
      </c>
      <c r="F152" s="48" t="s">
        <v>100</v>
      </c>
      <c r="G152" s="48" t="s">
        <v>100</v>
      </c>
      <c r="H152" s="48" t="s">
        <v>100</v>
      </c>
      <c r="I152" s="48" t="s">
        <v>697</v>
      </c>
      <c r="J152" s="48" t="s">
        <v>100</v>
      </c>
      <c r="K152" s="48" t="s">
        <v>100</v>
      </c>
      <c r="L152" s="48" t="s">
        <v>19</v>
      </c>
      <c r="M152" s="48">
        <v>3.75</v>
      </c>
      <c r="N152" s="48">
        <v>2.8</v>
      </c>
    </row>
    <row r="153" spans="1:15" ht="16.350000000000001" customHeight="1" x14ac:dyDescent="0.45">
      <c r="A153" s="55">
        <v>38</v>
      </c>
      <c r="B153" s="55">
        <v>36</v>
      </c>
      <c r="C153" s="48">
        <v>152</v>
      </c>
      <c r="D153" s="48" t="s">
        <v>55</v>
      </c>
      <c r="E153" s="48" t="s">
        <v>782</v>
      </c>
      <c r="F153" s="48">
        <v>0</v>
      </c>
      <c r="G153" s="48">
        <v>16.399999999999999</v>
      </c>
      <c r="H153" s="48">
        <v>0</v>
      </c>
      <c r="I153" s="48">
        <v>1</v>
      </c>
    </row>
    <row r="154" spans="1:15" ht="16.350000000000001" customHeight="1" x14ac:dyDescent="0.45">
      <c r="A154" s="55">
        <v>38</v>
      </c>
      <c r="B154" s="55">
        <v>37</v>
      </c>
      <c r="C154" s="48">
        <v>153</v>
      </c>
      <c r="D154" s="48" t="s">
        <v>39</v>
      </c>
      <c r="E154" s="48">
        <v>0</v>
      </c>
      <c r="F154" s="48">
        <v>0</v>
      </c>
      <c r="G154" s="48">
        <v>4</v>
      </c>
      <c r="H154" s="48">
        <v>5000</v>
      </c>
    </row>
    <row r="155" spans="1:15" ht="16.350000000000001" customHeight="1" x14ac:dyDescent="0.45">
      <c r="A155" s="55">
        <v>38</v>
      </c>
      <c r="B155" s="55">
        <v>9</v>
      </c>
      <c r="C155" s="48">
        <v>154</v>
      </c>
      <c r="D155" s="48" t="s">
        <v>49</v>
      </c>
      <c r="E155" s="48" t="s">
        <v>203</v>
      </c>
      <c r="F155" s="48">
        <v>3</v>
      </c>
    </row>
    <row r="156" spans="1:15" ht="16.350000000000001" customHeight="1" x14ac:dyDescent="0.45">
      <c r="A156" s="55">
        <v>38</v>
      </c>
      <c r="B156" s="55">
        <v>10</v>
      </c>
      <c r="C156" s="48">
        <v>155</v>
      </c>
      <c r="D156" s="48" t="s">
        <v>1</v>
      </c>
      <c r="E156" s="48" t="s">
        <v>18</v>
      </c>
      <c r="F156" s="48">
        <v>140</v>
      </c>
      <c r="G156" s="48">
        <v>140</v>
      </c>
      <c r="H156" s="48">
        <v>20.000000000099998</v>
      </c>
      <c r="I156" s="48" t="s">
        <v>100</v>
      </c>
      <c r="J156" s="48" t="s">
        <v>747</v>
      </c>
      <c r="K156" s="48" t="s">
        <v>100</v>
      </c>
      <c r="L156" s="48" t="s">
        <v>19</v>
      </c>
      <c r="M156" s="48">
        <v>3.75</v>
      </c>
      <c r="N156" s="48">
        <v>2.8</v>
      </c>
    </row>
    <row r="157" spans="1:15" ht="16.350000000000001" customHeight="1" x14ac:dyDescent="0.45">
      <c r="A157" s="55">
        <v>38</v>
      </c>
      <c r="B157" s="55">
        <v>11</v>
      </c>
      <c r="C157" s="48">
        <v>156</v>
      </c>
      <c r="D157" s="48" t="s">
        <v>1</v>
      </c>
      <c r="E157" s="48" t="s">
        <v>18</v>
      </c>
      <c r="F157" s="48" t="s">
        <v>100</v>
      </c>
      <c r="G157" s="48" t="s">
        <v>100</v>
      </c>
      <c r="H157" s="48" t="s">
        <v>100</v>
      </c>
      <c r="I157" s="48" t="s">
        <v>697</v>
      </c>
      <c r="J157" s="48" t="s">
        <v>100</v>
      </c>
      <c r="K157" s="48" t="s">
        <v>100</v>
      </c>
      <c r="L157" s="48" t="s">
        <v>19</v>
      </c>
      <c r="M157" s="48">
        <v>3.75</v>
      </c>
      <c r="N157" s="48">
        <v>2.8</v>
      </c>
    </row>
    <row r="158" spans="1:15" ht="16.350000000000001" customHeight="1" x14ac:dyDescent="0.45">
      <c r="A158" s="55">
        <v>38</v>
      </c>
      <c r="B158" s="55">
        <v>12</v>
      </c>
      <c r="C158" s="48">
        <v>157</v>
      </c>
      <c r="D158" s="48" t="s">
        <v>1</v>
      </c>
      <c r="E158" s="48" t="s">
        <v>18</v>
      </c>
      <c r="F158" s="48" t="s">
        <v>100</v>
      </c>
      <c r="G158" s="48" t="s">
        <v>100</v>
      </c>
      <c r="H158" s="48" t="s">
        <v>100</v>
      </c>
      <c r="I158" s="48" t="s">
        <v>100</v>
      </c>
      <c r="J158" s="48" t="s">
        <v>748</v>
      </c>
      <c r="K158" s="48" t="s">
        <v>100</v>
      </c>
      <c r="L158" s="48" t="s">
        <v>19</v>
      </c>
      <c r="M158" s="48">
        <v>3.75</v>
      </c>
      <c r="N158" s="48">
        <v>2.8</v>
      </c>
    </row>
    <row r="159" spans="1:15" ht="16.350000000000001" customHeight="1" x14ac:dyDescent="0.45">
      <c r="A159" s="55">
        <v>38</v>
      </c>
      <c r="B159" s="55">
        <v>13</v>
      </c>
      <c r="C159" s="48">
        <v>158</v>
      </c>
      <c r="D159" s="48" t="s">
        <v>1</v>
      </c>
      <c r="E159" s="48" t="s">
        <v>18</v>
      </c>
      <c r="F159" s="48" t="s">
        <v>100</v>
      </c>
      <c r="G159" s="48" t="s">
        <v>100</v>
      </c>
      <c r="H159" s="48" t="s">
        <v>100</v>
      </c>
      <c r="I159" s="48" t="s">
        <v>743</v>
      </c>
      <c r="J159" s="48" t="s">
        <v>100</v>
      </c>
      <c r="K159" s="48" t="s">
        <v>100</v>
      </c>
      <c r="L159" s="48" t="s">
        <v>19</v>
      </c>
      <c r="M159" s="48">
        <v>3.75</v>
      </c>
      <c r="N159" s="48">
        <v>2.8</v>
      </c>
      <c r="O159" s="56"/>
    </row>
    <row r="160" spans="1:15" ht="16.350000000000001" customHeight="1" x14ac:dyDescent="0.45">
      <c r="A160" s="55">
        <v>38</v>
      </c>
      <c r="B160" s="55">
        <v>14</v>
      </c>
      <c r="C160" s="48">
        <v>159</v>
      </c>
      <c r="D160" s="48" t="s">
        <v>55</v>
      </c>
      <c r="E160" s="48" t="s">
        <v>783</v>
      </c>
      <c r="F160" s="48">
        <v>0</v>
      </c>
      <c r="G160" s="48">
        <v>-16.399999999999999</v>
      </c>
      <c r="H160" s="48">
        <v>0</v>
      </c>
      <c r="I160" s="48">
        <v>1</v>
      </c>
    </row>
    <row r="161" spans="1:15" ht="16.350000000000001" customHeight="1" x14ac:dyDescent="0.45">
      <c r="A161" s="55">
        <v>38</v>
      </c>
      <c r="B161" s="55">
        <v>15</v>
      </c>
      <c r="C161" s="48">
        <v>160</v>
      </c>
      <c r="D161" s="48" t="s">
        <v>39</v>
      </c>
      <c r="E161" s="48">
        <v>0</v>
      </c>
      <c r="F161" s="48">
        <v>0</v>
      </c>
      <c r="G161" s="48">
        <v>2</v>
      </c>
      <c r="H161" s="48">
        <v>5000</v>
      </c>
    </row>
    <row r="162" spans="1:15" ht="16.350000000000001" customHeight="1" x14ac:dyDescent="0.45">
      <c r="A162" s="55">
        <v>38</v>
      </c>
      <c r="B162" s="55">
        <v>16</v>
      </c>
      <c r="C162" s="48">
        <v>161</v>
      </c>
      <c r="D162" s="48" t="s">
        <v>1</v>
      </c>
      <c r="E162" s="48" t="s">
        <v>18</v>
      </c>
      <c r="F162" s="48" t="s">
        <v>100</v>
      </c>
      <c r="G162" s="48" t="s">
        <v>100</v>
      </c>
      <c r="H162" s="48" t="s">
        <v>100</v>
      </c>
      <c r="I162" s="48" t="s">
        <v>697</v>
      </c>
      <c r="J162" s="48" t="s">
        <v>100</v>
      </c>
      <c r="K162" s="48" t="s">
        <v>100</v>
      </c>
      <c r="L162" s="48" t="s">
        <v>19</v>
      </c>
      <c r="M162" s="48">
        <v>3.75</v>
      </c>
      <c r="N162" s="48">
        <v>2.8</v>
      </c>
    </row>
    <row r="163" spans="1:15" ht="16.350000000000001" customHeight="1" x14ac:dyDescent="0.45">
      <c r="A163" s="55">
        <v>38</v>
      </c>
      <c r="B163" s="55">
        <v>17</v>
      </c>
      <c r="C163" s="48">
        <v>162</v>
      </c>
      <c r="D163" s="48" t="s">
        <v>1</v>
      </c>
      <c r="E163" s="48" t="s">
        <v>18</v>
      </c>
      <c r="F163" s="48" t="s">
        <v>100</v>
      </c>
      <c r="G163" s="48" t="s">
        <v>100</v>
      </c>
      <c r="H163" s="48" t="s">
        <v>100</v>
      </c>
      <c r="I163" s="48" t="s">
        <v>100</v>
      </c>
      <c r="J163" s="48" t="s">
        <v>750</v>
      </c>
      <c r="K163" s="48" t="s">
        <v>100</v>
      </c>
      <c r="L163" s="48" t="s">
        <v>19</v>
      </c>
      <c r="M163" s="48">
        <v>3.75</v>
      </c>
      <c r="N163" s="48">
        <v>2.8</v>
      </c>
    </row>
    <row r="164" spans="1:15" ht="16.350000000000001" customHeight="1" x14ac:dyDescent="0.45">
      <c r="A164" s="55">
        <v>38</v>
      </c>
      <c r="B164" s="55">
        <v>18</v>
      </c>
      <c r="C164" s="48">
        <v>163</v>
      </c>
      <c r="D164" s="48" t="s">
        <v>1</v>
      </c>
      <c r="E164" s="48" t="s">
        <v>18</v>
      </c>
      <c r="F164" s="48" t="s">
        <v>100</v>
      </c>
      <c r="G164" s="48" t="s">
        <v>100</v>
      </c>
      <c r="H164" s="48" t="s">
        <v>100</v>
      </c>
      <c r="I164" s="48" t="s">
        <v>743</v>
      </c>
      <c r="J164" s="48" t="s">
        <v>100</v>
      </c>
      <c r="K164" s="48" t="s">
        <v>100</v>
      </c>
      <c r="L164" s="48" t="s">
        <v>19</v>
      </c>
      <c r="M164" s="48">
        <v>3.75</v>
      </c>
      <c r="N164" s="48">
        <v>2.8</v>
      </c>
    </row>
    <row r="165" spans="1:15" ht="16.350000000000001" customHeight="1" x14ac:dyDescent="0.45">
      <c r="A165" s="55">
        <v>38</v>
      </c>
      <c r="B165" s="55">
        <v>19</v>
      </c>
      <c r="C165" s="48">
        <v>164</v>
      </c>
      <c r="D165" s="48" t="s">
        <v>1</v>
      </c>
      <c r="E165" s="48" t="s">
        <v>18</v>
      </c>
      <c r="F165" s="48" t="s">
        <v>100</v>
      </c>
      <c r="G165" s="48" t="s">
        <v>100</v>
      </c>
      <c r="H165" s="48" t="s">
        <v>100</v>
      </c>
      <c r="I165" s="48" t="s">
        <v>100</v>
      </c>
      <c r="J165" s="48" t="s">
        <v>751</v>
      </c>
      <c r="K165" s="48" t="s">
        <v>100</v>
      </c>
      <c r="L165" s="48" t="s">
        <v>19</v>
      </c>
      <c r="M165" s="48">
        <v>3.75</v>
      </c>
      <c r="N165" s="48">
        <v>2.8</v>
      </c>
    </row>
    <row r="166" spans="1:15" ht="16.350000000000001" customHeight="1" x14ac:dyDescent="0.45">
      <c r="A166" s="55">
        <v>38</v>
      </c>
      <c r="B166" s="55">
        <v>20</v>
      </c>
      <c r="C166" s="48">
        <v>165</v>
      </c>
      <c r="D166" s="48" t="s">
        <v>55</v>
      </c>
      <c r="E166" s="48" t="s">
        <v>784</v>
      </c>
      <c r="F166" s="48">
        <v>0</v>
      </c>
      <c r="G166" s="48">
        <v>16.399999999999999</v>
      </c>
      <c r="H166" s="48">
        <v>0</v>
      </c>
      <c r="I166" s="48">
        <v>1</v>
      </c>
    </row>
    <row r="167" spans="1:15" ht="16.350000000000001" customHeight="1" x14ac:dyDescent="0.45">
      <c r="A167" s="55">
        <v>38</v>
      </c>
      <c r="B167" s="55">
        <v>21</v>
      </c>
      <c r="C167" s="48">
        <v>166</v>
      </c>
      <c r="D167" s="48" t="s">
        <v>698</v>
      </c>
      <c r="E167" s="48">
        <v>0.35</v>
      </c>
      <c r="F167" s="48">
        <v>80</v>
      </c>
      <c r="G167" s="48">
        <v>4</v>
      </c>
      <c r="H167" s="48">
        <v>5000</v>
      </c>
    </row>
    <row r="168" spans="1:15" ht="16.350000000000001" customHeight="1" x14ac:dyDescent="0.45">
      <c r="A168" s="55">
        <v>38</v>
      </c>
      <c r="B168" s="55">
        <v>22</v>
      </c>
      <c r="C168" s="48">
        <v>167</v>
      </c>
      <c r="D168" s="48" t="s">
        <v>49</v>
      </c>
      <c r="E168" s="48" t="s">
        <v>203</v>
      </c>
      <c r="F168" s="48">
        <v>2</v>
      </c>
    </row>
    <row r="169" spans="1:15" ht="16.350000000000001" customHeight="1" x14ac:dyDescent="0.4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45">
      <c r="A170" s="55">
        <v>38</v>
      </c>
      <c r="B170" s="55">
        <v>24</v>
      </c>
      <c r="C170" s="48">
        <v>169</v>
      </c>
      <c r="D170" s="48" t="s">
        <v>172</v>
      </c>
      <c r="E170" s="48" t="s">
        <v>712</v>
      </c>
      <c r="F170" s="48">
        <v>155</v>
      </c>
      <c r="G170" s="48" t="s">
        <v>757</v>
      </c>
      <c r="H170" s="48">
        <v>0</v>
      </c>
      <c r="I170" s="48">
        <v>1</v>
      </c>
      <c r="J170" s="48">
        <v>1</v>
      </c>
      <c r="K170" s="48">
        <v>3.75</v>
      </c>
      <c r="L170" s="48">
        <v>2.8</v>
      </c>
      <c r="O170" s="56"/>
    </row>
    <row r="171" spans="1:15" ht="16.350000000000001" customHeight="1" x14ac:dyDescent="0.4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45">
      <c r="A172" s="55">
        <v>38</v>
      </c>
      <c r="B172" s="55">
        <v>26</v>
      </c>
      <c r="C172" s="48">
        <v>171</v>
      </c>
      <c r="D172" s="48" t="s">
        <v>1</v>
      </c>
      <c r="E172" s="48" t="s">
        <v>18</v>
      </c>
      <c r="F172" s="48" t="s">
        <v>100</v>
      </c>
      <c r="G172" s="48" t="s">
        <v>100</v>
      </c>
      <c r="H172" s="48" t="s">
        <v>100</v>
      </c>
      <c r="I172" s="48" t="s">
        <v>743</v>
      </c>
      <c r="J172" s="48" t="s">
        <v>100</v>
      </c>
      <c r="K172" s="48" t="s">
        <v>100</v>
      </c>
      <c r="L172" s="48" t="s">
        <v>19</v>
      </c>
      <c r="M172" s="48">
        <v>3.75</v>
      </c>
      <c r="N172" s="48">
        <v>2.8</v>
      </c>
    </row>
    <row r="173" spans="1:15" ht="16.350000000000001" customHeight="1" x14ac:dyDescent="0.45">
      <c r="A173" s="55">
        <v>38</v>
      </c>
      <c r="B173" s="55">
        <v>27</v>
      </c>
      <c r="C173" s="48">
        <v>172</v>
      </c>
      <c r="D173" s="48" t="s">
        <v>1</v>
      </c>
      <c r="E173" s="48" t="s">
        <v>18</v>
      </c>
      <c r="F173" s="48" t="s">
        <v>100</v>
      </c>
      <c r="G173" s="48" t="s">
        <v>100</v>
      </c>
      <c r="H173" s="48" t="s">
        <v>100</v>
      </c>
      <c r="I173" s="48" t="s">
        <v>100</v>
      </c>
      <c r="J173" s="48" t="s">
        <v>744</v>
      </c>
      <c r="K173" s="48" t="s">
        <v>100</v>
      </c>
      <c r="L173" s="48" t="s">
        <v>19</v>
      </c>
      <c r="M173" s="48">
        <v>3.75</v>
      </c>
      <c r="N173" s="48">
        <v>2.8</v>
      </c>
    </row>
    <row r="174" spans="1:15" ht="16.350000000000001" customHeight="1" x14ac:dyDescent="0.45">
      <c r="A174" s="55">
        <v>38</v>
      </c>
      <c r="B174" s="55">
        <v>28</v>
      </c>
      <c r="C174" s="48">
        <v>173</v>
      </c>
      <c r="D174" s="48" t="s">
        <v>1</v>
      </c>
      <c r="E174" s="48" t="s">
        <v>18</v>
      </c>
      <c r="F174" s="48" t="s">
        <v>100</v>
      </c>
      <c r="G174" s="48" t="s">
        <v>100</v>
      </c>
      <c r="H174" s="48" t="s">
        <v>100</v>
      </c>
      <c r="I174" s="48" t="s">
        <v>697</v>
      </c>
      <c r="J174" s="48" t="s">
        <v>100</v>
      </c>
      <c r="K174" s="48" t="s">
        <v>100</v>
      </c>
      <c r="L174" s="48" t="s">
        <v>19</v>
      </c>
      <c r="M174" s="48">
        <v>3.75</v>
      </c>
      <c r="N174" s="48">
        <v>2.8</v>
      </c>
    </row>
    <row r="175" spans="1:15" ht="16.350000000000001" customHeight="1" x14ac:dyDescent="0.45">
      <c r="A175" s="55">
        <v>38</v>
      </c>
      <c r="B175" s="55">
        <v>29</v>
      </c>
      <c r="C175" s="48">
        <v>174</v>
      </c>
      <c r="D175" s="48" t="s">
        <v>1</v>
      </c>
      <c r="E175" s="48" t="s">
        <v>18</v>
      </c>
      <c r="F175" s="48" t="s">
        <v>100</v>
      </c>
      <c r="G175" s="48" t="s">
        <v>100</v>
      </c>
      <c r="H175" s="48" t="s">
        <v>100</v>
      </c>
      <c r="I175" s="48" t="s">
        <v>100</v>
      </c>
      <c r="J175" s="48" t="s">
        <v>745</v>
      </c>
      <c r="K175" s="48" t="s">
        <v>100</v>
      </c>
      <c r="L175" s="48" t="s">
        <v>19</v>
      </c>
      <c r="M175" s="48">
        <v>3.75</v>
      </c>
      <c r="N175" s="48">
        <v>2.8</v>
      </c>
    </row>
    <row r="176" spans="1:15" ht="16.350000000000001" customHeight="1" x14ac:dyDescent="0.45">
      <c r="A176" s="55">
        <v>38</v>
      </c>
      <c r="B176" s="55">
        <v>30</v>
      </c>
      <c r="C176" s="48">
        <v>175</v>
      </c>
      <c r="D176" s="48" t="s">
        <v>55</v>
      </c>
      <c r="E176" s="48" t="s">
        <v>756</v>
      </c>
      <c r="F176" s="48">
        <v>0</v>
      </c>
      <c r="G176" s="48">
        <v>-16.399999999999999</v>
      </c>
      <c r="H176" s="48">
        <v>0</v>
      </c>
      <c r="I176" s="48">
        <v>1</v>
      </c>
    </row>
    <row r="177" spans="1:15" ht="16.350000000000001" customHeight="1" x14ac:dyDescent="0.45">
      <c r="A177" s="55">
        <v>38</v>
      </c>
      <c r="B177" s="55">
        <v>31</v>
      </c>
      <c r="C177" s="48">
        <v>176</v>
      </c>
      <c r="D177" s="48" t="s">
        <v>39</v>
      </c>
      <c r="E177" s="48">
        <v>0</v>
      </c>
      <c r="F177" s="48">
        <v>0</v>
      </c>
      <c r="G177" s="48">
        <v>2</v>
      </c>
      <c r="H177" s="48">
        <v>5000</v>
      </c>
    </row>
    <row r="178" spans="1:15" ht="16.350000000000001" customHeight="1" x14ac:dyDescent="0.45">
      <c r="A178" s="55">
        <v>38</v>
      </c>
      <c r="B178" s="55">
        <v>32</v>
      </c>
      <c r="C178" s="48">
        <v>177</v>
      </c>
      <c r="D178" s="48" t="s">
        <v>1</v>
      </c>
      <c r="E178" s="48" t="s">
        <v>18</v>
      </c>
      <c r="F178" s="48" t="s">
        <v>100</v>
      </c>
      <c r="G178" s="48" t="s">
        <v>100</v>
      </c>
      <c r="H178" s="48" t="s">
        <v>100</v>
      </c>
      <c r="I178" s="48" t="s">
        <v>100</v>
      </c>
      <c r="J178" s="48" t="s">
        <v>758</v>
      </c>
      <c r="K178" s="48" t="s">
        <v>100</v>
      </c>
      <c r="L178" s="48" t="s">
        <v>19</v>
      </c>
      <c r="M178" s="48">
        <v>3.75</v>
      </c>
      <c r="N178" s="48">
        <v>2.8</v>
      </c>
    </row>
    <row r="179" spans="1:15" ht="16.350000000000001" customHeight="1" x14ac:dyDescent="0.45">
      <c r="A179" s="55">
        <v>38</v>
      </c>
      <c r="B179" s="55">
        <v>33</v>
      </c>
      <c r="C179" s="48">
        <v>178</v>
      </c>
      <c r="D179" s="48" t="s">
        <v>1</v>
      </c>
      <c r="E179" s="48" t="s">
        <v>18</v>
      </c>
      <c r="F179" s="48" t="s">
        <v>100</v>
      </c>
      <c r="G179" s="48" t="s">
        <v>100</v>
      </c>
      <c r="H179" s="48" t="s">
        <v>100</v>
      </c>
      <c r="I179" s="48" t="s">
        <v>743</v>
      </c>
      <c r="J179" s="48" t="s">
        <v>100</v>
      </c>
      <c r="K179" s="48" t="s">
        <v>100</v>
      </c>
      <c r="L179" s="48" t="s">
        <v>19</v>
      </c>
      <c r="M179" s="48">
        <v>3.75</v>
      </c>
      <c r="N179" s="48">
        <v>2.8</v>
      </c>
    </row>
    <row r="180" spans="1:15" ht="16.350000000000001" customHeight="1" x14ac:dyDescent="0.4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45">
      <c r="A181" s="55">
        <v>38</v>
      </c>
      <c r="B181" s="55">
        <v>35</v>
      </c>
      <c r="C181" s="48">
        <v>180</v>
      </c>
      <c r="D181" s="48" t="s">
        <v>1</v>
      </c>
      <c r="E181" s="48" t="s">
        <v>18</v>
      </c>
      <c r="F181" s="48" t="s">
        <v>100</v>
      </c>
      <c r="G181" s="48" t="s">
        <v>100</v>
      </c>
      <c r="H181" s="48" t="s">
        <v>100</v>
      </c>
      <c r="I181" s="48" t="s">
        <v>697</v>
      </c>
      <c r="J181" s="48" t="s">
        <v>100</v>
      </c>
      <c r="K181" s="48" t="s">
        <v>100</v>
      </c>
      <c r="L181" s="48" t="s">
        <v>19</v>
      </c>
      <c r="M181" s="48">
        <v>3.75</v>
      </c>
      <c r="N181" s="48">
        <v>2.8</v>
      </c>
      <c r="O181" s="56"/>
    </row>
    <row r="182" spans="1:15" ht="16.350000000000001" customHeight="1" x14ac:dyDescent="0.45">
      <c r="A182" s="55">
        <v>38</v>
      </c>
      <c r="B182" s="55">
        <v>36</v>
      </c>
      <c r="C182" s="48">
        <v>181</v>
      </c>
      <c r="D182" s="48" t="s">
        <v>55</v>
      </c>
      <c r="E182" s="48" t="s">
        <v>785</v>
      </c>
      <c r="F182" s="48">
        <v>0</v>
      </c>
      <c r="G182" s="48">
        <v>16.399999999999999</v>
      </c>
      <c r="H182" s="48">
        <v>0</v>
      </c>
      <c r="I182" s="48">
        <v>1</v>
      </c>
    </row>
    <row r="183" spans="1:15" ht="16.350000000000001" customHeight="1" x14ac:dyDescent="0.45">
      <c r="A183" s="55">
        <v>38</v>
      </c>
      <c r="B183" s="55">
        <v>37</v>
      </c>
      <c r="C183" s="48">
        <v>182</v>
      </c>
      <c r="D183" s="48" t="s">
        <v>39</v>
      </c>
      <c r="E183" s="48">
        <v>0</v>
      </c>
      <c r="F183" s="48">
        <v>0</v>
      </c>
      <c r="G183" s="48">
        <v>4</v>
      </c>
      <c r="H183" s="48">
        <v>5000</v>
      </c>
    </row>
    <row r="184" spans="1:15" ht="16.350000000000001" customHeight="1" x14ac:dyDescent="0.45">
      <c r="A184" s="55">
        <v>38</v>
      </c>
      <c r="B184" s="55">
        <v>9</v>
      </c>
      <c r="C184" s="48">
        <v>183</v>
      </c>
      <c r="D184" s="48" t="s">
        <v>49</v>
      </c>
      <c r="E184" s="48" t="s">
        <v>203</v>
      </c>
      <c r="F184" s="48">
        <v>3</v>
      </c>
    </row>
    <row r="185" spans="1:15" ht="16.350000000000001" customHeight="1" x14ac:dyDescent="0.45">
      <c r="A185" s="55">
        <v>38</v>
      </c>
      <c r="B185" s="55">
        <v>10</v>
      </c>
      <c r="C185" s="48">
        <v>184</v>
      </c>
      <c r="D185" s="48" t="s">
        <v>1</v>
      </c>
      <c r="E185" s="48" t="s">
        <v>18</v>
      </c>
      <c r="F185" s="48">
        <v>140</v>
      </c>
      <c r="G185" s="48">
        <v>140</v>
      </c>
      <c r="H185" s="48">
        <v>24.000000000099998</v>
      </c>
      <c r="I185" s="48" t="s">
        <v>100</v>
      </c>
      <c r="J185" s="48" t="s">
        <v>747</v>
      </c>
      <c r="K185" s="48" t="s">
        <v>100</v>
      </c>
      <c r="L185" s="48" t="s">
        <v>19</v>
      </c>
      <c r="M185" s="48">
        <v>3.75</v>
      </c>
      <c r="N185" s="48">
        <v>2.8</v>
      </c>
    </row>
    <row r="186" spans="1:15" ht="16.350000000000001" customHeight="1" x14ac:dyDescent="0.45">
      <c r="A186" s="55">
        <v>38</v>
      </c>
      <c r="B186" s="55">
        <v>11</v>
      </c>
      <c r="C186" s="48">
        <v>185</v>
      </c>
      <c r="D186" s="48" t="s">
        <v>1</v>
      </c>
      <c r="E186" s="48" t="s">
        <v>18</v>
      </c>
      <c r="F186" s="48" t="s">
        <v>100</v>
      </c>
      <c r="G186" s="48" t="s">
        <v>100</v>
      </c>
      <c r="H186" s="48" t="s">
        <v>100</v>
      </c>
      <c r="I186" s="48" t="s">
        <v>697</v>
      </c>
      <c r="J186" s="48" t="s">
        <v>100</v>
      </c>
      <c r="K186" s="48" t="s">
        <v>100</v>
      </c>
      <c r="L186" s="48" t="s">
        <v>19</v>
      </c>
      <c r="M186" s="48">
        <v>3.75</v>
      </c>
      <c r="N186" s="48">
        <v>2.8</v>
      </c>
    </row>
    <row r="187" spans="1:15" ht="16.350000000000001" customHeight="1" x14ac:dyDescent="0.45">
      <c r="A187" s="55">
        <v>38</v>
      </c>
      <c r="B187" s="55">
        <v>12</v>
      </c>
      <c r="C187" s="48">
        <v>186</v>
      </c>
      <c r="D187" s="48" t="s">
        <v>1</v>
      </c>
      <c r="E187" s="48" t="s">
        <v>18</v>
      </c>
      <c r="F187" s="48" t="s">
        <v>100</v>
      </c>
      <c r="G187" s="48" t="s">
        <v>100</v>
      </c>
      <c r="H187" s="48" t="s">
        <v>100</v>
      </c>
      <c r="I187" s="48" t="s">
        <v>100</v>
      </c>
      <c r="J187" s="48" t="s">
        <v>748</v>
      </c>
      <c r="K187" s="48" t="s">
        <v>100</v>
      </c>
      <c r="L187" s="48" t="s">
        <v>19</v>
      </c>
      <c r="M187" s="48">
        <v>3.75</v>
      </c>
      <c r="N187" s="48">
        <v>2.8</v>
      </c>
    </row>
    <row r="188" spans="1:15" ht="16.350000000000001" customHeight="1" x14ac:dyDescent="0.45">
      <c r="A188" s="55">
        <v>38</v>
      </c>
      <c r="B188" s="55">
        <v>13</v>
      </c>
      <c r="C188" s="48">
        <v>187</v>
      </c>
      <c r="D188" s="48" t="s">
        <v>1</v>
      </c>
      <c r="E188" s="48" t="s">
        <v>18</v>
      </c>
      <c r="F188" s="48" t="s">
        <v>100</v>
      </c>
      <c r="G188" s="48" t="s">
        <v>100</v>
      </c>
      <c r="H188" s="48" t="s">
        <v>100</v>
      </c>
      <c r="I188" s="48" t="s">
        <v>743</v>
      </c>
      <c r="J188" s="48" t="s">
        <v>100</v>
      </c>
      <c r="K188" s="48" t="s">
        <v>100</v>
      </c>
      <c r="L188" s="48" t="s">
        <v>19</v>
      </c>
      <c r="M188" s="48">
        <v>3.75</v>
      </c>
      <c r="N188" s="48">
        <v>2.8</v>
      </c>
    </row>
    <row r="189" spans="1:15" ht="16.350000000000001" customHeight="1" x14ac:dyDescent="0.45">
      <c r="A189" s="55">
        <v>38</v>
      </c>
      <c r="B189" s="55">
        <v>14</v>
      </c>
      <c r="C189" s="48">
        <v>188</v>
      </c>
      <c r="D189" s="48" t="s">
        <v>55</v>
      </c>
      <c r="E189" s="48" t="s">
        <v>762</v>
      </c>
      <c r="F189" s="48">
        <v>0</v>
      </c>
      <c r="G189" s="48">
        <v>-16.399999999999999</v>
      </c>
      <c r="H189" s="48">
        <v>0</v>
      </c>
      <c r="I189" s="48">
        <v>1</v>
      </c>
    </row>
    <row r="190" spans="1:15" ht="16.350000000000001" customHeight="1" x14ac:dyDescent="0.45">
      <c r="A190" s="55">
        <v>38</v>
      </c>
      <c r="B190" s="55">
        <v>15</v>
      </c>
      <c r="C190" s="48">
        <v>189</v>
      </c>
      <c r="D190" s="48" t="s">
        <v>39</v>
      </c>
      <c r="E190" s="48">
        <v>0</v>
      </c>
      <c r="F190" s="48">
        <v>0</v>
      </c>
      <c r="G190" s="48">
        <v>2</v>
      </c>
      <c r="H190" s="48">
        <v>5000</v>
      </c>
    </row>
    <row r="191" spans="1:15" ht="16.350000000000001" customHeight="1" x14ac:dyDescent="0.45">
      <c r="A191" s="55">
        <v>38</v>
      </c>
      <c r="B191" s="55">
        <v>16</v>
      </c>
      <c r="C191" s="48">
        <v>190</v>
      </c>
      <c r="D191" s="48" t="s">
        <v>1</v>
      </c>
      <c r="E191" s="48" t="s">
        <v>18</v>
      </c>
      <c r="F191" s="48" t="s">
        <v>100</v>
      </c>
      <c r="G191" s="48" t="s">
        <v>100</v>
      </c>
      <c r="H191" s="48" t="s">
        <v>100</v>
      </c>
      <c r="I191" s="48" t="s">
        <v>697</v>
      </c>
      <c r="J191" s="48" t="s">
        <v>100</v>
      </c>
      <c r="K191" s="48" t="s">
        <v>100</v>
      </c>
      <c r="L191" s="48" t="s">
        <v>19</v>
      </c>
      <c r="M191" s="48">
        <v>3.75</v>
      </c>
      <c r="N191" s="48">
        <v>2.8</v>
      </c>
    </row>
    <row r="192" spans="1:15" ht="16.350000000000001" customHeight="1" x14ac:dyDescent="0.45">
      <c r="A192" s="55">
        <v>38</v>
      </c>
      <c r="B192" s="55">
        <v>17</v>
      </c>
      <c r="C192" s="48">
        <v>191</v>
      </c>
      <c r="D192" s="48" t="s">
        <v>1</v>
      </c>
      <c r="E192" s="48" t="s">
        <v>18</v>
      </c>
      <c r="F192" s="48" t="s">
        <v>100</v>
      </c>
      <c r="G192" s="48" t="s">
        <v>100</v>
      </c>
      <c r="H192" s="48" t="s">
        <v>100</v>
      </c>
      <c r="I192" s="48" t="s">
        <v>100</v>
      </c>
      <c r="J192" s="48" t="s">
        <v>750</v>
      </c>
      <c r="K192" s="48" t="s">
        <v>100</v>
      </c>
      <c r="L192" s="48" t="s">
        <v>19</v>
      </c>
      <c r="M192" s="48">
        <v>3.75</v>
      </c>
      <c r="N192" s="48">
        <v>2.8</v>
      </c>
      <c r="O192" s="56"/>
    </row>
    <row r="193" spans="1:15" ht="16.350000000000001" customHeight="1" x14ac:dyDescent="0.45">
      <c r="A193" s="55">
        <v>38</v>
      </c>
      <c r="B193" s="55">
        <v>18</v>
      </c>
      <c r="C193" s="48">
        <v>192</v>
      </c>
      <c r="D193" s="48" t="s">
        <v>1</v>
      </c>
      <c r="E193" s="48" t="s">
        <v>18</v>
      </c>
      <c r="F193" s="48" t="s">
        <v>100</v>
      </c>
      <c r="G193" s="48" t="s">
        <v>100</v>
      </c>
      <c r="H193" s="48" t="s">
        <v>100</v>
      </c>
      <c r="I193" s="48" t="s">
        <v>743</v>
      </c>
      <c r="J193" s="48" t="s">
        <v>100</v>
      </c>
      <c r="K193" s="48" t="s">
        <v>100</v>
      </c>
      <c r="L193" s="48" t="s">
        <v>19</v>
      </c>
      <c r="M193" s="48">
        <v>3.75</v>
      </c>
      <c r="N193" s="48">
        <v>2.8</v>
      </c>
    </row>
    <row r="194" spans="1:15" ht="16.350000000000001" customHeight="1" x14ac:dyDescent="0.45">
      <c r="A194" s="55">
        <v>38</v>
      </c>
      <c r="B194" s="55">
        <v>19</v>
      </c>
      <c r="C194" s="48">
        <v>193</v>
      </c>
      <c r="D194" s="48" t="s">
        <v>1</v>
      </c>
      <c r="E194" s="48" t="s">
        <v>18</v>
      </c>
      <c r="F194" s="48" t="s">
        <v>100</v>
      </c>
      <c r="G194" s="48" t="s">
        <v>100</v>
      </c>
      <c r="H194" s="48" t="s">
        <v>100</v>
      </c>
      <c r="I194" s="48" t="s">
        <v>100</v>
      </c>
      <c r="J194" s="48" t="s">
        <v>751</v>
      </c>
      <c r="K194" s="48" t="s">
        <v>100</v>
      </c>
      <c r="L194" s="48" t="s">
        <v>19</v>
      </c>
      <c r="M194" s="48">
        <v>3.75</v>
      </c>
      <c r="N194" s="48">
        <v>2.8</v>
      </c>
    </row>
    <row r="195" spans="1:15" ht="16.350000000000001" customHeight="1" x14ac:dyDescent="0.45">
      <c r="A195" s="55">
        <v>38</v>
      </c>
      <c r="B195" s="55">
        <v>20</v>
      </c>
      <c r="C195" s="48">
        <v>194</v>
      </c>
      <c r="D195" s="48" t="s">
        <v>55</v>
      </c>
      <c r="E195" s="48" t="s">
        <v>786</v>
      </c>
      <c r="F195" s="48">
        <v>0</v>
      </c>
      <c r="G195" s="48">
        <v>16.399999999999999</v>
      </c>
      <c r="H195" s="48">
        <v>0</v>
      </c>
      <c r="I195" s="48">
        <v>1</v>
      </c>
    </row>
    <row r="196" spans="1:15" ht="16.350000000000001" customHeight="1" x14ac:dyDescent="0.45">
      <c r="A196" s="55">
        <v>38</v>
      </c>
      <c r="B196" s="55">
        <v>21</v>
      </c>
      <c r="C196" s="48">
        <v>195</v>
      </c>
      <c r="D196" s="48" t="s">
        <v>698</v>
      </c>
      <c r="E196" s="48">
        <v>0.35</v>
      </c>
      <c r="F196" s="48">
        <v>80</v>
      </c>
      <c r="G196" s="48">
        <v>4</v>
      </c>
      <c r="H196" s="48">
        <v>5000</v>
      </c>
    </row>
    <row r="197" spans="1:15" ht="16.350000000000001" customHeight="1" x14ac:dyDescent="0.45">
      <c r="A197" s="55">
        <v>38</v>
      </c>
      <c r="B197" s="55">
        <v>22</v>
      </c>
      <c r="C197" s="48">
        <v>196</v>
      </c>
      <c r="D197" s="48" t="s">
        <v>49</v>
      </c>
      <c r="E197" s="48" t="s">
        <v>203</v>
      </c>
      <c r="F197" s="48">
        <v>2</v>
      </c>
    </row>
    <row r="198" spans="1:15" ht="16.350000000000001" customHeight="1" x14ac:dyDescent="0.4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45">
      <c r="A199" s="55">
        <v>38</v>
      </c>
      <c r="B199" s="55">
        <v>24</v>
      </c>
      <c r="C199" s="48">
        <v>198</v>
      </c>
      <c r="D199" s="48" t="s">
        <v>172</v>
      </c>
      <c r="E199" s="48" t="s">
        <v>712</v>
      </c>
      <c r="F199" s="48">
        <v>155</v>
      </c>
      <c r="G199" s="48" t="s">
        <v>760</v>
      </c>
      <c r="H199" s="48">
        <v>0</v>
      </c>
      <c r="I199" s="48">
        <v>1</v>
      </c>
      <c r="J199" s="48">
        <v>1</v>
      </c>
      <c r="K199" s="48">
        <v>3.75</v>
      </c>
      <c r="L199" s="48">
        <v>2.8</v>
      </c>
    </row>
    <row r="200" spans="1:15" ht="16.350000000000001" customHeight="1" x14ac:dyDescent="0.4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45">
      <c r="A201" s="55">
        <v>38</v>
      </c>
      <c r="B201" s="55">
        <v>26</v>
      </c>
      <c r="C201" s="48">
        <v>200</v>
      </c>
      <c r="D201" s="48" t="s">
        <v>1</v>
      </c>
      <c r="E201" s="48" t="s">
        <v>18</v>
      </c>
      <c r="F201" s="48" t="s">
        <v>100</v>
      </c>
      <c r="G201" s="48" t="s">
        <v>100</v>
      </c>
      <c r="H201" s="48" t="s">
        <v>100</v>
      </c>
      <c r="I201" s="48" t="s">
        <v>743</v>
      </c>
      <c r="J201" s="48" t="s">
        <v>100</v>
      </c>
      <c r="K201" s="48" t="s">
        <v>100</v>
      </c>
      <c r="L201" s="48" t="s">
        <v>19</v>
      </c>
      <c r="M201" s="48">
        <v>3.75</v>
      </c>
      <c r="N201" s="48">
        <v>2.8</v>
      </c>
    </row>
    <row r="202" spans="1:15" ht="16.350000000000001" customHeight="1" x14ac:dyDescent="0.45">
      <c r="A202" s="55">
        <v>38</v>
      </c>
      <c r="B202" s="55">
        <v>27</v>
      </c>
      <c r="C202" s="48">
        <v>201</v>
      </c>
      <c r="D202" s="48" t="s">
        <v>1</v>
      </c>
      <c r="E202" s="48" t="s">
        <v>18</v>
      </c>
      <c r="F202" s="48" t="s">
        <v>100</v>
      </c>
      <c r="G202" s="48" t="s">
        <v>100</v>
      </c>
      <c r="H202" s="48" t="s">
        <v>100</v>
      </c>
      <c r="I202" s="48" t="s">
        <v>100</v>
      </c>
      <c r="J202" s="48" t="s">
        <v>744</v>
      </c>
      <c r="K202" s="48" t="s">
        <v>100</v>
      </c>
      <c r="L202" s="48" t="s">
        <v>19</v>
      </c>
      <c r="M202" s="48">
        <v>3.75</v>
      </c>
      <c r="N202" s="48">
        <v>2.8</v>
      </c>
    </row>
    <row r="203" spans="1:15" ht="16.350000000000001" customHeight="1" x14ac:dyDescent="0.45">
      <c r="A203" s="55">
        <v>38</v>
      </c>
      <c r="B203" s="55">
        <v>28</v>
      </c>
      <c r="C203" s="48">
        <v>202</v>
      </c>
      <c r="D203" s="48" t="s">
        <v>1</v>
      </c>
      <c r="E203" s="48" t="s">
        <v>18</v>
      </c>
      <c r="F203" s="48" t="s">
        <v>100</v>
      </c>
      <c r="G203" s="48" t="s">
        <v>100</v>
      </c>
      <c r="H203" s="48" t="s">
        <v>100</v>
      </c>
      <c r="I203" s="48" t="s">
        <v>697</v>
      </c>
      <c r="J203" s="48" t="s">
        <v>100</v>
      </c>
      <c r="K203" s="48" t="s">
        <v>100</v>
      </c>
      <c r="L203" s="48" t="s">
        <v>19</v>
      </c>
      <c r="M203" s="48">
        <v>3.75</v>
      </c>
      <c r="N203" s="48">
        <v>2.8</v>
      </c>
      <c r="O203" s="56"/>
    </row>
    <row r="204" spans="1:15" ht="16.350000000000001" customHeight="1" x14ac:dyDescent="0.45">
      <c r="A204" s="55">
        <v>38</v>
      </c>
      <c r="B204" s="55">
        <v>29</v>
      </c>
      <c r="C204" s="48">
        <v>203</v>
      </c>
      <c r="D204" s="48" t="s">
        <v>1</v>
      </c>
      <c r="E204" s="48" t="s">
        <v>18</v>
      </c>
      <c r="F204" s="48" t="s">
        <v>100</v>
      </c>
      <c r="G204" s="48" t="s">
        <v>100</v>
      </c>
      <c r="H204" s="48" t="s">
        <v>100</v>
      </c>
      <c r="I204" s="48" t="s">
        <v>100</v>
      </c>
      <c r="J204" s="48" t="s">
        <v>745</v>
      </c>
      <c r="K204" s="48" t="s">
        <v>100</v>
      </c>
      <c r="L204" s="48" t="s">
        <v>19</v>
      </c>
      <c r="M204" s="48">
        <v>3.75</v>
      </c>
      <c r="N204" s="48">
        <v>2.8</v>
      </c>
    </row>
    <row r="205" spans="1:15" ht="16.350000000000001" customHeight="1" x14ac:dyDescent="0.45">
      <c r="A205" s="55">
        <v>38</v>
      </c>
      <c r="B205" s="55">
        <v>30</v>
      </c>
      <c r="C205" s="48">
        <v>204</v>
      </c>
      <c r="D205" s="48" t="s">
        <v>55</v>
      </c>
      <c r="E205" s="48" t="s">
        <v>767</v>
      </c>
      <c r="F205" s="48">
        <v>0</v>
      </c>
      <c r="G205" s="48">
        <v>-16.399999999999999</v>
      </c>
      <c r="H205" s="48">
        <v>0</v>
      </c>
      <c r="I205" s="48">
        <v>1</v>
      </c>
    </row>
    <row r="206" spans="1:15" ht="16.350000000000001" customHeight="1" x14ac:dyDescent="0.45">
      <c r="A206" s="55">
        <v>38</v>
      </c>
      <c r="B206" s="55">
        <v>31</v>
      </c>
      <c r="C206" s="48">
        <v>205</v>
      </c>
      <c r="D206" s="48" t="s">
        <v>39</v>
      </c>
      <c r="E206" s="48">
        <v>0</v>
      </c>
      <c r="F206" s="48">
        <v>0</v>
      </c>
      <c r="G206" s="48">
        <v>2</v>
      </c>
      <c r="H206" s="48">
        <v>5000</v>
      </c>
    </row>
    <row r="207" spans="1:15" ht="16.350000000000001" customHeight="1" x14ac:dyDescent="0.45">
      <c r="A207" s="55">
        <v>38</v>
      </c>
      <c r="B207" s="55">
        <v>32</v>
      </c>
      <c r="C207" s="48">
        <v>206</v>
      </c>
      <c r="D207" s="48" t="s">
        <v>1</v>
      </c>
      <c r="E207" s="48" t="s">
        <v>18</v>
      </c>
      <c r="F207" s="48" t="s">
        <v>100</v>
      </c>
      <c r="G207" s="48" t="s">
        <v>100</v>
      </c>
      <c r="H207" s="48" t="s">
        <v>100</v>
      </c>
      <c r="I207" s="48" t="s">
        <v>100</v>
      </c>
      <c r="J207" s="48" t="s">
        <v>758</v>
      </c>
      <c r="K207" s="48" t="s">
        <v>100</v>
      </c>
      <c r="L207" s="48" t="s">
        <v>19</v>
      </c>
      <c r="M207" s="48">
        <v>3.75</v>
      </c>
      <c r="N207" s="48">
        <v>2.8</v>
      </c>
    </row>
    <row r="208" spans="1:15" ht="16.350000000000001" customHeight="1" x14ac:dyDescent="0.45">
      <c r="A208" s="55">
        <v>38</v>
      </c>
      <c r="B208" s="55">
        <v>33</v>
      </c>
      <c r="C208" s="48">
        <v>207</v>
      </c>
      <c r="D208" s="48" t="s">
        <v>1</v>
      </c>
      <c r="E208" s="48" t="s">
        <v>18</v>
      </c>
      <c r="F208" s="48" t="s">
        <v>100</v>
      </c>
      <c r="G208" s="48" t="s">
        <v>100</v>
      </c>
      <c r="H208" s="48" t="s">
        <v>100</v>
      </c>
      <c r="I208" s="48" t="s">
        <v>743</v>
      </c>
      <c r="J208" s="48" t="s">
        <v>100</v>
      </c>
      <c r="K208" s="48" t="s">
        <v>100</v>
      </c>
      <c r="L208" s="48" t="s">
        <v>19</v>
      </c>
      <c r="M208" s="48">
        <v>3.75</v>
      </c>
      <c r="N208" s="48">
        <v>2.8</v>
      </c>
    </row>
    <row r="209" spans="1:15" ht="16.350000000000001" customHeight="1" x14ac:dyDescent="0.4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45">
      <c r="A210" s="55">
        <v>38</v>
      </c>
      <c r="B210" s="55">
        <v>35</v>
      </c>
      <c r="C210" s="48">
        <v>209</v>
      </c>
      <c r="D210" s="48" t="s">
        <v>1</v>
      </c>
      <c r="E210" s="48" t="s">
        <v>18</v>
      </c>
      <c r="F210" s="48" t="s">
        <v>100</v>
      </c>
      <c r="G210" s="48" t="s">
        <v>100</v>
      </c>
      <c r="H210" s="48" t="s">
        <v>100</v>
      </c>
      <c r="I210" s="48" t="s">
        <v>697</v>
      </c>
      <c r="J210" s="48" t="s">
        <v>100</v>
      </c>
      <c r="K210" s="48" t="s">
        <v>100</v>
      </c>
      <c r="L210" s="48" t="s">
        <v>19</v>
      </c>
      <c r="M210" s="48">
        <v>3.75</v>
      </c>
      <c r="N210" s="48">
        <v>2.8</v>
      </c>
    </row>
    <row r="211" spans="1:15" ht="16.350000000000001" customHeight="1" x14ac:dyDescent="0.45">
      <c r="A211" s="55">
        <v>38</v>
      </c>
      <c r="B211" s="55">
        <v>36</v>
      </c>
      <c r="C211" s="48">
        <v>210</v>
      </c>
      <c r="D211" s="48" t="s">
        <v>55</v>
      </c>
      <c r="E211" s="48" t="s">
        <v>763</v>
      </c>
      <c r="F211" s="48">
        <v>0</v>
      </c>
      <c r="G211" s="48">
        <v>16.399999999999999</v>
      </c>
      <c r="H211" s="48">
        <v>0</v>
      </c>
      <c r="I211" s="48">
        <v>1</v>
      </c>
    </row>
    <row r="212" spans="1:15" ht="16.350000000000001" customHeight="1" x14ac:dyDescent="0.45">
      <c r="A212" s="55">
        <v>38</v>
      </c>
      <c r="B212" s="55">
        <v>37</v>
      </c>
      <c r="C212" s="48">
        <v>211</v>
      </c>
      <c r="D212" s="48" t="s">
        <v>39</v>
      </c>
      <c r="E212" s="48">
        <v>0</v>
      </c>
      <c r="F212" s="48">
        <v>0</v>
      </c>
      <c r="G212" s="48">
        <v>4</v>
      </c>
      <c r="H212" s="48">
        <v>5000</v>
      </c>
    </row>
    <row r="213" spans="1:15" ht="16.350000000000001" customHeight="1" x14ac:dyDescent="0.45">
      <c r="A213" s="55">
        <v>38</v>
      </c>
      <c r="B213" s="55">
        <v>9</v>
      </c>
      <c r="C213" s="48">
        <v>212</v>
      </c>
      <c r="D213" s="48" t="s">
        <v>49</v>
      </c>
      <c r="E213" s="48" t="s">
        <v>203</v>
      </c>
      <c r="F213" s="48">
        <v>3</v>
      </c>
    </row>
    <row r="214" spans="1:15" ht="16.350000000000001" customHeight="1" x14ac:dyDescent="0.45">
      <c r="A214" s="55">
        <v>38</v>
      </c>
      <c r="B214" s="55">
        <v>10</v>
      </c>
      <c r="C214" s="48">
        <v>213</v>
      </c>
      <c r="D214" s="48" t="s">
        <v>1</v>
      </c>
      <c r="E214" s="48" t="s">
        <v>18</v>
      </c>
      <c r="F214" s="48">
        <v>140</v>
      </c>
      <c r="G214" s="48">
        <v>140</v>
      </c>
      <c r="H214" s="48">
        <v>28.000000000099998</v>
      </c>
      <c r="I214" s="48" t="s">
        <v>100</v>
      </c>
      <c r="J214" s="48" t="s">
        <v>747</v>
      </c>
      <c r="K214" s="48" t="s">
        <v>100</v>
      </c>
      <c r="L214" s="48" t="s">
        <v>19</v>
      </c>
      <c r="M214" s="48">
        <v>3.75</v>
      </c>
      <c r="N214" s="48">
        <v>2.8</v>
      </c>
      <c r="O214" s="56"/>
    </row>
    <row r="215" spans="1:15" ht="16.350000000000001" customHeight="1" x14ac:dyDescent="0.45">
      <c r="A215" s="55">
        <v>38</v>
      </c>
      <c r="B215" s="55">
        <v>11</v>
      </c>
      <c r="C215" s="48">
        <v>214</v>
      </c>
      <c r="D215" s="48" t="s">
        <v>1</v>
      </c>
      <c r="E215" s="48" t="s">
        <v>18</v>
      </c>
      <c r="F215" s="48" t="s">
        <v>100</v>
      </c>
      <c r="G215" s="48" t="s">
        <v>100</v>
      </c>
      <c r="H215" s="48" t="s">
        <v>100</v>
      </c>
      <c r="I215" s="48" t="s">
        <v>697</v>
      </c>
      <c r="J215" s="48" t="s">
        <v>100</v>
      </c>
      <c r="K215" s="48" t="s">
        <v>100</v>
      </c>
      <c r="L215" s="48" t="s">
        <v>19</v>
      </c>
      <c r="M215" s="48">
        <v>3.75</v>
      </c>
      <c r="N215" s="48">
        <v>2.8</v>
      </c>
    </row>
    <row r="216" spans="1:15" ht="16.350000000000001" customHeight="1" x14ac:dyDescent="0.45">
      <c r="A216" s="55">
        <v>38</v>
      </c>
      <c r="B216" s="55">
        <v>12</v>
      </c>
      <c r="C216" s="48">
        <v>215</v>
      </c>
      <c r="D216" s="48" t="s">
        <v>1</v>
      </c>
      <c r="E216" s="48" t="s">
        <v>18</v>
      </c>
      <c r="F216" s="48" t="s">
        <v>100</v>
      </c>
      <c r="G216" s="48" t="s">
        <v>100</v>
      </c>
      <c r="H216" s="48" t="s">
        <v>100</v>
      </c>
      <c r="I216" s="48" t="s">
        <v>100</v>
      </c>
      <c r="J216" s="48" t="s">
        <v>748</v>
      </c>
      <c r="K216" s="48" t="s">
        <v>100</v>
      </c>
      <c r="L216" s="48" t="s">
        <v>19</v>
      </c>
      <c r="M216" s="48">
        <v>3.75</v>
      </c>
      <c r="N216" s="48">
        <v>2.8</v>
      </c>
    </row>
    <row r="217" spans="1:15" ht="16.350000000000001" customHeight="1" x14ac:dyDescent="0.45">
      <c r="A217" s="55">
        <v>38</v>
      </c>
      <c r="B217" s="55">
        <v>13</v>
      </c>
      <c r="C217" s="48">
        <v>216</v>
      </c>
      <c r="D217" s="48" t="s">
        <v>1</v>
      </c>
      <c r="E217" s="48" t="s">
        <v>18</v>
      </c>
      <c r="F217" s="48" t="s">
        <v>100</v>
      </c>
      <c r="G217" s="48" t="s">
        <v>100</v>
      </c>
      <c r="H217" s="48" t="s">
        <v>100</v>
      </c>
      <c r="I217" s="48" t="s">
        <v>743</v>
      </c>
      <c r="J217" s="48" t="s">
        <v>100</v>
      </c>
      <c r="K217" s="48" t="s">
        <v>100</v>
      </c>
      <c r="L217" s="48" t="s">
        <v>19</v>
      </c>
      <c r="M217" s="48">
        <v>3.75</v>
      </c>
      <c r="N217" s="48">
        <v>2.8</v>
      </c>
    </row>
    <row r="218" spans="1:15" ht="16.350000000000001" customHeight="1" x14ac:dyDescent="0.45">
      <c r="A218" s="55">
        <v>38</v>
      </c>
      <c r="B218" s="55">
        <v>14</v>
      </c>
      <c r="C218" s="48">
        <v>217</v>
      </c>
      <c r="D218" s="48" t="s">
        <v>55</v>
      </c>
      <c r="E218" s="48" t="s">
        <v>768</v>
      </c>
      <c r="F218" s="48">
        <v>0</v>
      </c>
      <c r="G218" s="48">
        <v>-16.399999999999999</v>
      </c>
      <c r="H218" s="48">
        <v>0</v>
      </c>
      <c r="I218" s="48">
        <v>1</v>
      </c>
    </row>
    <row r="219" spans="1:15" ht="16.350000000000001" customHeight="1" x14ac:dyDescent="0.45">
      <c r="A219" s="55">
        <v>38</v>
      </c>
      <c r="B219" s="55">
        <v>15</v>
      </c>
      <c r="C219" s="48">
        <v>218</v>
      </c>
      <c r="D219" s="48" t="s">
        <v>39</v>
      </c>
      <c r="E219" s="48">
        <v>0</v>
      </c>
      <c r="F219" s="48">
        <v>0</v>
      </c>
      <c r="G219" s="48">
        <v>2</v>
      </c>
      <c r="H219" s="48">
        <v>5000</v>
      </c>
    </row>
    <row r="220" spans="1:15" ht="16.350000000000001" customHeight="1" x14ac:dyDescent="0.45">
      <c r="A220" s="55">
        <v>38</v>
      </c>
      <c r="B220" s="55">
        <v>16</v>
      </c>
      <c r="C220" s="48">
        <v>219</v>
      </c>
      <c r="D220" s="48" t="s">
        <v>1</v>
      </c>
      <c r="E220" s="48" t="s">
        <v>18</v>
      </c>
      <c r="F220" s="48" t="s">
        <v>100</v>
      </c>
      <c r="G220" s="48" t="s">
        <v>100</v>
      </c>
      <c r="H220" s="48" t="s">
        <v>100</v>
      </c>
      <c r="I220" s="48" t="s">
        <v>697</v>
      </c>
      <c r="J220" s="48" t="s">
        <v>100</v>
      </c>
      <c r="K220" s="48" t="s">
        <v>100</v>
      </c>
      <c r="L220" s="48" t="s">
        <v>19</v>
      </c>
      <c r="M220" s="48">
        <v>3.75</v>
      </c>
      <c r="N220" s="48">
        <v>2.8</v>
      </c>
    </row>
    <row r="221" spans="1:15" ht="16.350000000000001" customHeight="1" x14ac:dyDescent="0.45">
      <c r="A221" s="55">
        <v>38</v>
      </c>
      <c r="B221" s="55">
        <v>17</v>
      </c>
      <c r="C221" s="48">
        <v>220</v>
      </c>
      <c r="D221" s="48" t="s">
        <v>1</v>
      </c>
      <c r="E221" s="48" t="s">
        <v>18</v>
      </c>
      <c r="F221" s="48" t="s">
        <v>100</v>
      </c>
      <c r="G221" s="48" t="s">
        <v>100</v>
      </c>
      <c r="H221" s="48" t="s">
        <v>100</v>
      </c>
      <c r="I221" s="48" t="s">
        <v>100</v>
      </c>
      <c r="J221" s="48" t="s">
        <v>750</v>
      </c>
      <c r="K221" s="48" t="s">
        <v>100</v>
      </c>
      <c r="L221" s="48" t="s">
        <v>19</v>
      </c>
      <c r="M221" s="48">
        <v>3.75</v>
      </c>
      <c r="N221" s="48">
        <v>2.8</v>
      </c>
    </row>
    <row r="222" spans="1:15" ht="16.350000000000001" customHeight="1" x14ac:dyDescent="0.45">
      <c r="A222" s="55">
        <v>38</v>
      </c>
      <c r="B222" s="55">
        <v>18</v>
      </c>
      <c r="C222" s="48">
        <v>221</v>
      </c>
      <c r="D222" s="48" t="s">
        <v>1</v>
      </c>
      <c r="E222" s="48" t="s">
        <v>18</v>
      </c>
      <c r="F222" s="48" t="s">
        <v>100</v>
      </c>
      <c r="G222" s="48" t="s">
        <v>100</v>
      </c>
      <c r="H222" s="48" t="s">
        <v>100</v>
      </c>
      <c r="I222" s="48" t="s">
        <v>743</v>
      </c>
      <c r="J222" s="48" t="s">
        <v>100</v>
      </c>
      <c r="K222" s="48" t="s">
        <v>100</v>
      </c>
      <c r="L222" s="48" t="s">
        <v>19</v>
      </c>
      <c r="M222" s="48">
        <v>3.75</v>
      </c>
      <c r="N222" s="48">
        <v>2.8</v>
      </c>
    </row>
    <row r="223" spans="1:15" ht="16.350000000000001" customHeight="1" x14ac:dyDescent="0.45">
      <c r="A223" s="55">
        <v>38</v>
      </c>
      <c r="B223" s="55">
        <v>19</v>
      </c>
      <c r="C223" s="48">
        <v>222</v>
      </c>
      <c r="D223" s="48" t="s">
        <v>1</v>
      </c>
      <c r="E223" s="48" t="s">
        <v>18</v>
      </c>
      <c r="F223" s="48" t="s">
        <v>100</v>
      </c>
      <c r="G223" s="48" t="s">
        <v>100</v>
      </c>
      <c r="H223" s="48" t="s">
        <v>100</v>
      </c>
      <c r="I223" s="48" t="s">
        <v>100</v>
      </c>
      <c r="J223" s="48" t="s">
        <v>751</v>
      </c>
      <c r="K223" s="48" t="s">
        <v>100</v>
      </c>
      <c r="L223" s="48" t="s">
        <v>19</v>
      </c>
      <c r="M223" s="48">
        <v>3.75</v>
      </c>
      <c r="N223" s="48">
        <v>2.8</v>
      </c>
    </row>
    <row r="224" spans="1:15" ht="16.350000000000001" customHeight="1" x14ac:dyDescent="0.45">
      <c r="A224" s="55">
        <v>38</v>
      </c>
      <c r="B224" s="55">
        <v>20</v>
      </c>
      <c r="C224" s="48">
        <v>223</v>
      </c>
      <c r="D224" s="48" t="s">
        <v>55</v>
      </c>
      <c r="E224" s="48" t="s">
        <v>787</v>
      </c>
      <c r="F224" s="48">
        <v>0</v>
      </c>
      <c r="G224" s="48">
        <v>16.399999999999999</v>
      </c>
      <c r="H224" s="48">
        <v>0</v>
      </c>
      <c r="I224" s="48">
        <v>1</v>
      </c>
    </row>
    <row r="225" spans="1:15" ht="16.350000000000001" customHeight="1" x14ac:dyDescent="0.45">
      <c r="A225" s="55">
        <v>38</v>
      </c>
      <c r="B225" s="55">
        <v>21</v>
      </c>
      <c r="C225" s="48">
        <v>224</v>
      </c>
      <c r="D225" s="48" t="s">
        <v>698</v>
      </c>
      <c r="E225" s="48">
        <v>0.35</v>
      </c>
      <c r="F225" s="48">
        <v>80</v>
      </c>
      <c r="G225" s="48">
        <v>4</v>
      </c>
      <c r="H225" s="48">
        <v>5000</v>
      </c>
      <c r="O225" s="56"/>
    </row>
    <row r="226" spans="1:15" ht="16.350000000000001" customHeight="1" x14ac:dyDescent="0.45">
      <c r="A226" s="55">
        <v>38</v>
      </c>
      <c r="B226" s="55">
        <v>22</v>
      </c>
      <c r="C226" s="48">
        <v>225</v>
      </c>
      <c r="D226" s="48" t="s">
        <v>49</v>
      </c>
      <c r="E226" s="48" t="s">
        <v>203</v>
      </c>
      <c r="F226" s="48">
        <v>2</v>
      </c>
    </row>
    <row r="227" spans="1:15" ht="16.350000000000001" customHeight="1" x14ac:dyDescent="0.4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45">
      <c r="A228" s="55">
        <v>38</v>
      </c>
      <c r="B228" s="55">
        <v>24</v>
      </c>
      <c r="C228" s="48">
        <v>227</v>
      </c>
      <c r="D228" s="48" t="s">
        <v>172</v>
      </c>
      <c r="E228" s="48" t="s">
        <v>712</v>
      </c>
      <c r="F228" s="48">
        <v>155</v>
      </c>
      <c r="G228" s="48" t="s">
        <v>761</v>
      </c>
      <c r="H228" s="48">
        <v>0</v>
      </c>
      <c r="I228" s="48">
        <v>1</v>
      </c>
      <c r="J228" s="48">
        <v>1</v>
      </c>
      <c r="K228" s="48">
        <v>3.75</v>
      </c>
      <c r="L228" s="48">
        <v>2.8</v>
      </c>
    </row>
    <row r="229" spans="1:15" ht="16.350000000000001" customHeight="1" x14ac:dyDescent="0.4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45">
      <c r="A230" s="55">
        <v>38</v>
      </c>
      <c r="B230" s="55">
        <v>26</v>
      </c>
      <c r="C230" s="48">
        <v>229</v>
      </c>
      <c r="D230" s="48" t="s">
        <v>1</v>
      </c>
      <c r="E230" s="48" t="s">
        <v>18</v>
      </c>
      <c r="F230" s="48" t="s">
        <v>100</v>
      </c>
      <c r="G230" s="48" t="s">
        <v>100</v>
      </c>
      <c r="H230" s="48" t="s">
        <v>100</v>
      </c>
      <c r="I230" s="48" t="s">
        <v>743</v>
      </c>
      <c r="J230" s="48" t="s">
        <v>100</v>
      </c>
      <c r="K230" s="48" t="s">
        <v>100</v>
      </c>
      <c r="L230" s="48" t="s">
        <v>19</v>
      </c>
      <c r="M230" s="48">
        <v>3.75</v>
      </c>
      <c r="N230" s="48">
        <v>2.8</v>
      </c>
    </row>
    <row r="231" spans="1:15" ht="16.350000000000001" customHeight="1" x14ac:dyDescent="0.45">
      <c r="A231" s="55">
        <v>38</v>
      </c>
      <c r="B231" s="55">
        <v>27</v>
      </c>
      <c r="C231" s="48">
        <v>230</v>
      </c>
      <c r="D231" s="48" t="s">
        <v>1</v>
      </c>
      <c r="E231" s="48" t="s">
        <v>18</v>
      </c>
      <c r="F231" s="48" t="s">
        <v>100</v>
      </c>
      <c r="G231" s="48" t="s">
        <v>100</v>
      </c>
      <c r="H231" s="48" t="s">
        <v>100</v>
      </c>
      <c r="I231" s="48" t="s">
        <v>100</v>
      </c>
      <c r="J231" s="48" t="s">
        <v>744</v>
      </c>
      <c r="K231" s="48" t="s">
        <v>100</v>
      </c>
      <c r="L231" s="48" t="s">
        <v>19</v>
      </c>
      <c r="M231" s="48">
        <v>3.75</v>
      </c>
      <c r="N231" s="48">
        <v>2.8</v>
      </c>
    </row>
    <row r="232" spans="1:15" ht="16.350000000000001" customHeight="1" x14ac:dyDescent="0.45">
      <c r="A232" s="55">
        <v>38</v>
      </c>
      <c r="B232" s="55">
        <v>28</v>
      </c>
      <c r="C232" s="48">
        <v>231</v>
      </c>
      <c r="D232" s="48" t="s">
        <v>1</v>
      </c>
      <c r="E232" s="48" t="s">
        <v>18</v>
      </c>
      <c r="F232" s="48" t="s">
        <v>100</v>
      </c>
      <c r="G232" s="48" t="s">
        <v>100</v>
      </c>
      <c r="H232" s="48" t="s">
        <v>100</v>
      </c>
      <c r="I232" s="48" t="s">
        <v>697</v>
      </c>
      <c r="J232" s="48" t="s">
        <v>100</v>
      </c>
      <c r="K232" s="48" t="s">
        <v>100</v>
      </c>
      <c r="L232" s="48" t="s">
        <v>19</v>
      </c>
      <c r="M232" s="48">
        <v>3.75</v>
      </c>
      <c r="N232" s="48">
        <v>2.8</v>
      </c>
    </row>
    <row r="233" spans="1:15" ht="16.350000000000001" customHeight="1" x14ac:dyDescent="0.45">
      <c r="A233" s="55">
        <v>38</v>
      </c>
      <c r="B233" s="55">
        <v>29</v>
      </c>
      <c r="C233" s="48">
        <v>232</v>
      </c>
      <c r="D233" s="48" t="s">
        <v>1</v>
      </c>
      <c r="E233" s="48" t="s">
        <v>18</v>
      </c>
      <c r="F233" s="48" t="s">
        <v>100</v>
      </c>
      <c r="G233" s="48" t="s">
        <v>100</v>
      </c>
      <c r="H233" s="48" t="s">
        <v>100</v>
      </c>
      <c r="I233" s="48" t="s">
        <v>100</v>
      </c>
      <c r="J233" s="48" t="s">
        <v>745</v>
      </c>
      <c r="K233" s="48" t="s">
        <v>100</v>
      </c>
      <c r="L233" s="48" t="s">
        <v>19</v>
      </c>
      <c r="M233" s="48">
        <v>3.75</v>
      </c>
      <c r="N233" s="48">
        <v>2.8</v>
      </c>
    </row>
    <row r="234" spans="1:15" ht="16.350000000000001" customHeight="1" x14ac:dyDescent="0.45">
      <c r="A234" s="55">
        <v>38</v>
      </c>
      <c r="B234" s="55">
        <v>30</v>
      </c>
      <c r="C234" s="48">
        <v>233</v>
      </c>
      <c r="D234" s="48" t="s">
        <v>55</v>
      </c>
      <c r="E234" s="48" t="s">
        <v>788</v>
      </c>
      <c r="F234" s="48">
        <v>0</v>
      </c>
      <c r="G234" s="48">
        <v>-16.399999999999999</v>
      </c>
      <c r="H234" s="48">
        <v>0</v>
      </c>
      <c r="I234" s="48">
        <v>1</v>
      </c>
    </row>
    <row r="235" spans="1:15" ht="16.350000000000001" customHeight="1" x14ac:dyDescent="0.45">
      <c r="A235" s="55">
        <v>38</v>
      </c>
      <c r="B235" s="55">
        <v>31</v>
      </c>
      <c r="C235" s="48">
        <v>234</v>
      </c>
      <c r="D235" s="48" t="s">
        <v>39</v>
      </c>
      <c r="E235" s="48">
        <v>0</v>
      </c>
      <c r="F235" s="48">
        <v>0</v>
      </c>
      <c r="G235" s="48">
        <v>2</v>
      </c>
      <c r="H235" s="48">
        <v>5000</v>
      </c>
    </row>
    <row r="236" spans="1:15" ht="16.350000000000001" customHeight="1" x14ac:dyDescent="0.45">
      <c r="A236" s="55">
        <v>38</v>
      </c>
      <c r="B236" s="55">
        <v>32</v>
      </c>
      <c r="C236" s="48">
        <v>235</v>
      </c>
      <c r="D236" s="48" t="s">
        <v>1</v>
      </c>
      <c r="E236" s="48" t="s">
        <v>18</v>
      </c>
      <c r="F236" s="48" t="s">
        <v>100</v>
      </c>
      <c r="G236" s="48" t="s">
        <v>100</v>
      </c>
      <c r="H236" s="48" t="s">
        <v>100</v>
      </c>
      <c r="I236" s="48" t="s">
        <v>100</v>
      </c>
      <c r="J236" s="48" t="s">
        <v>758</v>
      </c>
      <c r="K236" s="48" t="s">
        <v>100</v>
      </c>
      <c r="L236" s="48" t="s">
        <v>19</v>
      </c>
      <c r="M236" s="48">
        <v>3.75</v>
      </c>
      <c r="N236" s="48">
        <v>2.8</v>
      </c>
      <c r="O236" s="56"/>
    </row>
    <row r="237" spans="1:15" ht="16.350000000000001" customHeight="1" x14ac:dyDescent="0.45">
      <c r="A237" s="55">
        <v>38</v>
      </c>
      <c r="B237" s="55">
        <v>33</v>
      </c>
      <c r="C237" s="48">
        <v>236</v>
      </c>
      <c r="D237" s="48" t="s">
        <v>1</v>
      </c>
      <c r="E237" s="48" t="s">
        <v>18</v>
      </c>
      <c r="F237" s="48" t="s">
        <v>100</v>
      </c>
      <c r="G237" s="48" t="s">
        <v>100</v>
      </c>
      <c r="H237" s="48" t="s">
        <v>100</v>
      </c>
      <c r="I237" s="48" t="s">
        <v>743</v>
      </c>
      <c r="J237" s="48" t="s">
        <v>100</v>
      </c>
      <c r="K237" s="48" t="s">
        <v>100</v>
      </c>
      <c r="L237" s="48" t="s">
        <v>19</v>
      </c>
      <c r="M237" s="48">
        <v>3.75</v>
      </c>
      <c r="N237" s="48">
        <v>2.8</v>
      </c>
    </row>
    <row r="238" spans="1:15" ht="16.350000000000001" customHeight="1" x14ac:dyDescent="0.4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45">
      <c r="A239" s="55">
        <v>38</v>
      </c>
      <c r="B239" s="55">
        <v>35</v>
      </c>
      <c r="C239" s="48">
        <v>238</v>
      </c>
      <c r="D239" s="48" t="s">
        <v>1</v>
      </c>
      <c r="E239" s="48" t="s">
        <v>18</v>
      </c>
      <c r="F239" s="48" t="s">
        <v>100</v>
      </c>
      <c r="G239" s="48" t="s">
        <v>100</v>
      </c>
      <c r="H239" s="48" t="s">
        <v>100</v>
      </c>
      <c r="I239" s="48" t="s">
        <v>697</v>
      </c>
      <c r="J239" s="48" t="s">
        <v>100</v>
      </c>
      <c r="K239" s="48" t="s">
        <v>100</v>
      </c>
      <c r="L239" s="48" t="s">
        <v>19</v>
      </c>
      <c r="M239" s="48">
        <v>3.75</v>
      </c>
      <c r="N239" s="48">
        <v>2.8</v>
      </c>
    </row>
    <row r="240" spans="1:15" ht="16.350000000000001" customHeight="1" x14ac:dyDescent="0.45">
      <c r="A240" s="55">
        <v>38</v>
      </c>
      <c r="B240" s="55">
        <v>36</v>
      </c>
      <c r="C240" s="48">
        <v>239</v>
      </c>
      <c r="D240" s="48" t="s">
        <v>55</v>
      </c>
      <c r="E240" s="48" t="s">
        <v>789</v>
      </c>
      <c r="F240" s="48">
        <v>0</v>
      </c>
      <c r="G240" s="48">
        <v>16.399999999999999</v>
      </c>
      <c r="H240" s="48">
        <v>0</v>
      </c>
      <c r="I240" s="48">
        <v>1</v>
      </c>
    </row>
    <row r="241" spans="1:15" ht="16.350000000000001" customHeight="1" x14ac:dyDescent="0.45">
      <c r="A241" s="55">
        <v>38</v>
      </c>
      <c r="B241" s="55">
        <v>37</v>
      </c>
      <c r="C241" s="48">
        <v>240</v>
      </c>
      <c r="D241" s="48" t="s">
        <v>39</v>
      </c>
      <c r="E241" s="48">
        <v>0</v>
      </c>
      <c r="F241" s="48">
        <v>0</v>
      </c>
      <c r="G241" s="48">
        <v>4</v>
      </c>
      <c r="H241" s="48">
        <v>5000</v>
      </c>
    </row>
    <row r="247" spans="1:15" ht="16.350000000000001" customHeight="1" x14ac:dyDescent="0.45">
      <c r="O247" s="56"/>
    </row>
    <row r="258" spans="15:15" ht="16.350000000000001" customHeight="1" x14ac:dyDescent="0.45">
      <c r="O258" s="56"/>
    </row>
    <row r="269" spans="15:15" ht="16.350000000000001" customHeight="1" x14ac:dyDescent="0.45">
      <c r="O269" s="56"/>
    </row>
    <row r="280" spans="15:15" ht="16.350000000000001" customHeight="1" x14ac:dyDescent="0.45">
      <c r="O280" s="56"/>
    </row>
    <row r="291" spans="15:15" ht="16.350000000000001" customHeight="1" x14ac:dyDescent="0.45">
      <c r="O291" s="56"/>
    </row>
    <row r="302" spans="15:15" ht="16.350000000000001" customHeight="1" x14ac:dyDescent="0.45">
      <c r="O302" s="56"/>
    </row>
    <row r="313" spans="15:15" ht="16.350000000000001" customHeight="1" x14ac:dyDescent="0.45">
      <c r="O313" s="56"/>
    </row>
    <row r="324" spans="15:15" ht="16.350000000000001" customHeight="1" x14ac:dyDescent="0.45">
      <c r="O324" s="56"/>
    </row>
    <row r="335" spans="15:15" ht="16.350000000000001" customHeight="1" x14ac:dyDescent="0.45">
      <c r="O335" s="56"/>
    </row>
    <row r="346" spans="15:15" ht="16.350000000000001" customHeight="1" x14ac:dyDescent="0.45">
      <c r="O346" s="56"/>
    </row>
    <row r="357" spans="15:15" ht="16.350000000000001" customHeight="1" x14ac:dyDescent="0.45">
      <c r="O357" s="56"/>
    </row>
    <row r="368" spans="15:15" ht="16.350000000000001" customHeight="1" x14ac:dyDescent="0.45">
      <c r="O368" s="56"/>
    </row>
    <row r="379" spans="15:15" ht="16.350000000000001" customHeight="1" x14ac:dyDescent="0.45">
      <c r="O379" s="56"/>
    </row>
    <row r="390" spans="15:15" ht="16.350000000000001" customHeight="1" x14ac:dyDescent="0.45">
      <c r="O390" s="56"/>
    </row>
    <row r="401" spans="15:15" ht="16.350000000000001" customHeight="1" x14ac:dyDescent="0.45">
      <c r="O401" s="56"/>
    </row>
    <row r="412" spans="15:15" ht="16.350000000000001" customHeight="1" x14ac:dyDescent="0.45">
      <c r="O412" s="56"/>
    </row>
    <row r="423" spans="15:15" ht="16.350000000000001" customHeight="1" x14ac:dyDescent="0.45">
      <c r="O423" s="56"/>
    </row>
    <row r="434" spans="15:15" ht="16.350000000000001" customHeight="1" x14ac:dyDescent="0.45">
      <c r="O434" s="56"/>
    </row>
    <row r="445" spans="15:15" ht="16.350000000000001" customHeight="1" x14ac:dyDescent="0.45">
      <c r="O445" s="56"/>
    </row>
    <row r="456" spans="15:15" ht="16.350000000000001" customHeight="1" x14ac:dyDescent="0.45">
      <c r="O456" s="56"/>
    </row>
    <row r="467" spans="15:15" ht="16.350000000000001" customHeight="1" x14ac:dyDescent="0.45">
      <c r="O467" s="56"/>
    </row>
    <row r="478" spans="15:15" ht="16.350000000000001" customHeight="1" x14ac:dyDescent="0.45">
      <c r="O478" s="56"/>
    </row>
    <row r="489" spans="15:15" ht="16.350000000000001" customHeight="1" x14ac:dyDescent="0.45">
      <c r="O489" s="56"/>
    </row>
    <row r="500" spans="15:15" ht="16.350000000000001" customHeight="1" x14ac:dyDescent="0.45">
      <c r="O500" s="56"/>
    </row>
    <row r="511" spans="15:15" ht="16.350000000000001" customHeight="1" x14ac:dyDescent="0.45">
      <c r="O511" s="56"/>
    </row>
    <row r="522" spans="15:15" ht="16.350000000000001" customHeight="1" x14ac:dyDescent="0.45">
      <c r="O522" s="56"/>
    </row>
    <row r="533" spans="15:15" ht="16.350000000000001" customHeight="1" x14ac:dyDescent="0.45">
      <c r="O533" s="56"/>
    </row>
    <row r="544" spans="15:15" ht="16.350000000000001" customHeight="1" x14ac:dyDescent="0.45">
      <c r="O544" s="56"/>
    </row>
    <row r="555" spans="15:15" ht="16.350000000000001" customHeight="1" x14ac:dyDescent="0.45">
      <c r="O555" s="56"/>
    </row>
    <row r="566" spans="15:15" ht="16.350000000000001" customHeight="1" x14ac:dyDescent="0.45">
      <c r="O566" s="56"/>
    </row>
    <row r="577" spans="15:15" ht="16.350000000000001" customHeight="1" x14ac:dyDescent="0.45">
      <c r="O577" s="56"/>
    </row>
    <row r="588" spans="15:15" ht="16.350000000000001" customHeight="1" x14ac:dyDescent="0.45">
      <c r="O588" s="56"/>
    </row>
    <row r="599" spans="15:15" ht="16.350000000000001" customHeight="1" x14ac:dyDescent="0.45">
      <c r="O599" s="56"/>
    </row>
    <row r="610" spans="15:15" ht="16.350000000000001" customHeight="1" x14ac:dyDescent="0.45">
      <c r="O610" s="56"/>
    </row>
    <row r="621" spans="15:15" ht="16.350000000000001" customHeight="1" x14ac:dyDescent="0.45">
      <c r="O621" s="56"/>
    </row>
    <row r="632" spans="15:15" ht="16.350000000000001" customHeight="1" x14ac:dyDescent="0.45">
      <c r="O632" s="56"/>
    </row>
    <row r="643" spans="15:15" ht="16.350000000000001" customHeight="1" x14ac:dyDescent="0.45">
      <c r="O643" s="56"/>
    </row>
    <row r="654" spans="15:15" ht="16.350000000000001" customHeight="1" x14ac:dyDescent="0.45">
      <c r="O654" s="56"/>
    </row>
    <row r="665" spans="15:15" ht="16.350000000000001" customHeight="1" x14ac:dyDescent="0.45">
      <c r="O665" s="56"/>
    </row>
    <row r="676" spans="15:15" ht="16.350000000000001" customHeight="1" x14ac:dyDescent="0.45">
      <c r="O676" s="56"/>
    </row>
    <row r="687" spans="15:15" ht="16.350000000000001" customHeight="1" x14ac:dyDescent="0.45">
      <c r="O687" s="56"/>
    </row>
    <row r="698" spans="15:15" ht="16.350000000000001" customHeight="1" x14ac:dyDescent="0.45">
      <c r="O698" s="56"/>
    </row>
    <row r="709" spans="15:15" ht="16.350000000000001" customHeight="1" x14ac:dyDescent="0.45">
      <c r="O709" s="56"/>
    </row>
    <row r="720" spans="15:15" ht="16.350000000000001" customHeight="1" x14ac:dyDescent="0.45">
      <c r="O720" s="56"/>
    </row>
    <row r="731" spans="15:15" ht="16.350000000000001" customHeight="1" x14ac:dyDescent="0.45">
      <c r="O731" s="56"/>
    </row>
    <row r="742" spans="15:15" ht="16.350000000000001" customHeight="1" x14ac:dyDescent="0.45">
      <c r="O742" s="56"/>
    </row>
    <row r="753" spans="15:15" ht="16.350000000000001" customHeight="1" x14ac:dyDescent="0.45">
      <c r="O753" s="56"/>
    </row>
    <row r="764" spans="15:15" ht="16.350000000000001" customHeight="1" x14ac:dyDescent="0.45">
      <c r="O764" s="56"/>
    </row>
    <row r="775" spans="15:15" ht="16.350000000000001" customHeight="1" x14ac:dyDescent="0.45">
      <c r="O775" s="56"/>
    </row>
    <row r="786" spans="15:15" ht="16.350000000000001" customHeight="1" x14ac:dyDescent="0.45">
      <c r="O786" s="56"/>
    </row>
    <row r="797" spans="15:15" ht="16.350000000000001" customHeight="1" x14ac:dyDescent="0.45">
      <c r="O797" s="56"/>
    </row>
    <row r="808" spans="15:15" ht="16.350000000000001" customHeight="1" x14ac:dyDescent="0.45">
      <c r="O808" s="56"/>
    </row>
    <row r="819" spans="15:15" ht="16.350000000000001" customHeight="1" x14ac:dyDescent="0.45">
      <c r="O819" s="56"/>
    </row>
    <row r="830" spans="15:15" ht="16.350000000000001" customHeight="1" x14ac:dyDescent="0.45">
      <c r="O830" s="56"/>
    </row>
    <row r="841" spans="15:15" ht="16.350000000000001" customHeight="1" x14ac:dyDescent="0.45">
      <c r="O841" s="56"/>
    </row>
    <row r="852" spans="15:15" ht="16.350000000000001" customHeight="1" x14ac:dyDescent="0.45">
      <c r="O852" s="56"/>
    </row>
    <row r="863" spans="15:15" ht="16.350000000000001" customHeight="1" x14ac:dyDescent="0.4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4.25" x14ac:dyDescent="0.45"/>
  <sheetData>
    <row r="3" spans="1:46" x14ac:dyDescent="0.4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45">
      <c r="A4" s="32" t="s">
        <v>0</v>
      </c>
      <c r="B4" s="2"/>
      <c r="C4" s="2"/>
      <c r="D4" s="2"/>
      <c r="E4" s="2"/>
      <c r="F4" s="2"/>
      <c r="G4" s="2"/>
      <c r="H4" s="2"/>
      <c r="I4" s="2"/>
      <c r="J4" s="2"/>
      <c r="K4" s="2"/>
      <c r="L4" s="2"/>
      <c r="M4" s="2"/>
      <c r="N4" s="2"/>
      <c r="O4" s="2"/>
      <c r="P4" s="2"/>
      <c r="Q4" s="33" t="s">
        <v>289</v>
      </c>
      <c r="U4" s="69"/>
    </row>
    <row r="5" spans="1:46" x14ac:dyDescent="0.45">
      <c r="A5" s="2">
        <v>1</v>
      </c>
      <c r="B5" s="2" t="s">
        <v>614</v>
      </c>
      <c r="C5" s="2"/>
      <c r="D5" s="2"/>
      <c r="E5" s="2"/>
      <c r="F5" s="2"/>
      <c r="G5" s="2"/>
      <c r="H5" s="2"/>
      <c r="I5" s="2"/>
      <c r="J5" s="2"/>
      <c r="K5" s="2"/>
      <c r="L5" s="2"/>
      <c r="M5" s="2"/>
      <c r="N5" s="2"/>
      <c r="O5" s="2"/>
      <c r="P5" s="2"/>
      <c r="Q5" s="2"/>
      <c r="S5" s="74" t="s">
        <v>40</v>
      </c>
      <c r="T5" s="3"/>
      <c r="U5" s="5"/>
    </row>
    <row r="6" spans="1:46" x14ac:dyDescent="0.45">
      <c r="A6" s="2">
        <v>2</v>
      </c>
      <c r="B6" s="2"/>
      <c r="C6" s="2"/>
      <c r="D6" s="2"/>
      <c r="E6" s="2"/>
      <c r="F6" s="2"/>
      <c r="G6" s="2"/>
      <c r="H6" s="2"/>
      <c r="I6" s="2"/>
      <c r="J6" s="2"/>
      <c r="K6" s="2"/>
      <c r="L6" s="2"/>
      <c r="M6" s="2"/>
      <c r="N6" s="2"/>
      <c r="O6" s="2"/>
      <c r="P6" s="2"/>
      <c r="Q6" s="2"/>
      <c r="S6" s="5" t="s">
        <v>98</v>
      </c>
      <c r="T6" s="5">
        <v>0.25</v>
      </c>
      <c r="U6" s="5" t="s">
        <v>44</v>
      </c>
    </row>
    <row r="7" spans="1:46" x14ac:dyDescent="0.45">
      <c r="A7" s="2">
        <v>3</v>
      </c>
      <c r="B7" s="2" t="s">
        <v>616</v>
      </c>
      <c r="C7" s="2"/>
      <c r="D7" s="2"/>
      <c r="E7" s="2"/>
      <c r="F7" s="2"/>
      <c r="G7" s="2"/>
      <c r="H7" s="2"/>
      <c r="I7" s="2"/>
      <c r="J7" s="2"/>
      <c r="K7" s="2"/>
      <c r="L7" s="2"/>
      <c r="M7" s="2"/>
      <c r="N7" s="2"/>
      <c r="O7" s="2"/>
      <c r="P7" s="2"/>
      <c r="Q7" s="2"/>
      <c r="S7" s="5" t="s">
        <v>87</v>
      </c>
      <c r="T7" s="5">
        <v>1</v>
      </c>
      <c r="U7" s="5" t="s">
        <v>89</v>
      </c>
    </row>
    <row r="8" spans="1:46" x14ac:dyDescent="0.45">
      <c r="A8" s="2">
        <v>4</v>
      </c>
      <c r="B8" s="2"/>
      <c r="C8" s="2"/>
      <c r="D8" s="2"/>
      <c r="E8" s="2"/>
      <c r="F8" s="2"/>
      <c r="G8" s="2"/>
      <c r="H8" s="2"/>
      <c r="I8" s="2"/>
      <c r="J8" s="2"/>
      <c r="K8" s="2"/>
      <c r="L8" s="2"/>
      <c r="M8" s="2"/>
      <c r="N8" s="2"/>
      <c r="O8" s="2"/>
      <c r="P8" s="2"/>
      <c r="Q8" s="2"/>
      <c r="S8" s="5" t="s">
        <v>88</v>
      </c>
      <c r="T8" s="5">
        <v>0.4</v>
      </c>
      <c r="U8" s="5" t="s">
        <v>89</v>
      </c>
    </row>
    <row r="9" spans="1:46" x14ac:dyDescent="0.4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45">
      <c r="A10" s="2">
        <v>6</v>
      </c>
      <c r="B10" s="2"/>
      <c r="C10" s="2"/>
      <c r="D10" s="2"/>
      <c r="E10" s="2"/>
      <c r="F10" s="2"/>
      <c r="G10" s="2"/>
      <c r="H10" s="2"/>
      <c r="I10" s="2"/>
      <c r="J10" s="2"/>
      <c r="K10" s="2"/>
      <c r="L10" s="2"/>
      <c r="M10" s="2"/>
      <c r="N10" s="2"/>
      <c r="O10" s="2"/>
      <c r="P10" s="2"/>
      <c r="Q10" s="2"/>
      <c r="S10" s="5" t="s">
        <v>194</v>
      </c>
      <c r="T10" s="5">
        <v>0</v>
      </c>
      <c r="U10" s="5"/>
    </row>
    <row r="11" spans="1:46" x14ac:dyDescent="0.45">
      <c r="A11" s="2">
        <v>7</v>
      </c>
      <c r="B11" s="2"/>
      <c r="C11" s="2"/>
      <c r="D11" s="2"/>
      <c r="E11" s="2"/>
      <c r="F11" s="2"/>
      <c r="G11" s="2"/>
      <c r="H11" s="2"/>
      <c r="I11" s="2"/>
      <c r="J11" s="2"/>
      <c r="K11" s="2"/>
      <c r="L11" s="2"/>
      <c r="M11" s="2"/>
      <c r="N11" s="2"/>
      <c r="O11" s="2"/>
      <c r="P11" s="2"/>
      <c r="Q11" s="2"/>
      <c r="S11" s="46"/>
      <c r="T11" s="46"/>
      <c r="U11" s="70"/>
    </row>
    <row r="12" spans="1:46" x14ac:dyDescent="0.4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45">
      <c r="A13" s="2">
        <v>9</v>
      </c>
      <c r="B13" s="2"/>
      <c r="C13" s="2"/>
      <c r="D13" s="2"/>
      <c r="E13" s="2"/>
      <c r="F13" s="2"/>
      <c r="G13" s="2"/>
      <c r="H13" s="2"/>
      <c r="I13" s="2"/>
      <c r="J13" s="2"/>
      <c r="K13" s="2"/>
      <c r="L13" s="2"/>
      <c r="M13" s="2"/>
      <c r="N13" s="2"/>
      <c r="O13" s="2"/>
      <c r="P13" s="2"/>
      <c r="Q13" s="2"/>
      <c r="S13" s="5" t="s">
        <v>85</v>
      </c>
      <c r="T13" s="5">
        <v>1800</v>
      </c>
      <c r="U13" s="5" t="s">
        <v>45</v>
      </c>
    </row>
    <row r="14" spans="1:46" x14ac:dyDescent="0.45">
      <c r="A14" s="2">
        <v>10</v>
      </c>
      <c r="B14" s="2"/>
      <c r="C14" s="2"/>
      <c r="D14" s="2"/>
      <c r="E14" s="2"/>
      <c r="F14" s="2"/>
      <c r="G14" s="2"/>
      <c r="H14" s="2"/>
      <c r="I14" s="2"/>
      <c r="J14" s="2"/>
      <c r="K14" s="2"/>
      <c r="L14" s="2"/>
      <c r="M14" s="2"/>
      <c r="N14" s="2"/>
      <c r="O14" s="2"/>
      <c r="P14" s="2"/>
      <c r="Q14" s="2"/>
      <c r="S14" s="5" t="s">
        <v>86</v>
      </c>
      <c r="T14" s="5">
        <v>48000</v>
      </c>
      <c r="U14" s="5" t="s">
        <v>45</v>
      </c>
    </row>
    <row r="15" spans="1:46" x14ac:dyDescent="0.4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4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4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4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4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45">
      <c r="S20" s="5" t="s">
        <v>167</v>
      </c>
      <c r="T20" s="5">
        <v>20</v>
      </c>
      <c r="U20" s="5" t="s">
        <v>44</v>
      </c>
    </row>
    <row r="21" spans="1:34" x14ac:dyDescent="0.45">
      <c r="S21" s="5" t="s">
        <v>168</v>
      </c>
      <c r="T21" s="5">
        <v>10</v>
      </c>
      <c r="U21" s="5" t="s">
        <v>44</v>
      </c>
    </row>
    <row r="22" spans="1:34" x14ac:dyDescent="0.45">
      <c r="S22" s="5" t="s">
        <v>169</v>
      </c>
      <c r="T22" s="5">
        <v>0.3</v>
      </c>
      <c r="U22" s="5" t="s">
        <v>44</v>
      </c>
    </row>
    <row r="23" spans="1:34" x14ac:dyDescent="0.45">
      <c r="S23" s="62" t="s">
        <v>339</v>
      </c>
      <c r="T23" s="5">
        <v>185</v>
      </c>
      <c r="U23" s="5"/>
      <c r="V23" s="1"/>
    </row>
    <row r="24" spans="1:34" x14ac:dyDescent="0.45">
      <c r="S24" s="5" t="s">
        <v>154</v>
      </c>
      <c r="T24" s="5" t="s">
        <v>632</v>
      </c>
      <c r="U24" s="5" t="s">
        <v>158</v>
      </c>
    </row>
    <row r="25" spans="1:34" x14ac:dyDescent="0.45">
      <c r="S25" s="5" t="s">
        <v>159</v>
      </c>
      <c r="T25" s="5">
        <v>2</v>
      </c>
      <c r="U25" s="5" t="s">
        <v>44</v>
      </c>
      <c r="V25" s="1"/>
    </row>
    <row r="26" spans="1:34" x14ac:dyDescent="0.45">
      <c r="S26" s="5" t="s">
        <v>160</v>
      </c>
      <c r="T26" s="5">
        <v>1.25</v>
      </c>
      <c r="U26" s="5" t="s">
        <v>90</v>
      </c>
    </row>
    <row r="27" spans="1:34" x14ac:dyDescent="0.45">
      <c r="S27" s="5" t="s">
        <v>161</v>
      </c>
      <c r="T27" s="5">
        <v>2500</v>
      </c>
      <c r="U27" s="5" t="s">
        <v>45</v>
      </c>
    </row>
    <row r="28" spans="1:34" x14ac:dyDescent="0.45">
      <c r="S28" s="5" t="s">
        <v>162</v>
      </c>
      <c r="T28" s="5">
        <v>0</v>
      </c>
      <c r="U28" s="5" t="s">
        <v>90</v>
      </c>
    </row>
    <row r="29" spans="1:34" x14ac:dyDescent="0.45">
      <c r="S29" s="3" t="s">
        <v>163</v>
      </c>
      <c r="T29" s="3">
        <f>T27</f>
        <v>2500</v>
      </c>
      <c r="U29" s="5" t="s">
        <v>45</v>
      </c>
    </row>
    <row r="30" spans="1:34" x14ac:dyDescent="0.45">
      <c r="S30" s="3" t="s">
        <v>164</v>
      </c>
      <c r="T30" s="3">
        <v>0.65</v>
      </c>
      <c r="U30" s="5" t="s">
        <v>44</v>
      </c>
    </row>
    <row r="31" spans="1:34" x14ac:dyDescent="0.45">
      <c r="S31" s="3" t="s">
        <v>165</v>
      </c>
      <c r="T31" s="3">
        <v>8000</v>
      </c>
      <c r="U31" s="5" t="s">
        <v>45</v>
      </c>
    </row>
    <row r="32" spans="1:34" x14ac:dyDescent="0.45">
      <c r="U32" s="69"/>
    </row>
    <row r="33" spans="1:46" x14ac:dyDescent="0.45">
      <c r="S33" s="75" t="s">
        <v>292</v>
      </c>
      <c r="T33" s="75" t="s">
        <v>293</v>
      </c>
      <c r="U33" s="76" t="s">
        <v>331</v>
      </c>
    </row>
    <row r="34" spans="1:46" x14ac:dyDescent="0.45">
      <c r="S34" s="59" t="s">
        <v>644</v>
      </c>
      <c r="T34" s="59" t="s">
        <v>467</v>
      </c>
      <c r="U34" s="71" t="s">
        <v>109</v>
      </c>
    </row>
    <row r="35" spans="1:46" x14ac:dyDescent="0.45">
      <c r="S35" s="59"/>
      <c r="T35" s="59"/>
      <c r="U35" s="71" t="s">
        <v>109</v>
      </c>
    </row>
    <row r="37" spans="1:46" x14ac:dyDescent="0.4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45">
      <c r="A38" s="32" t="s">
        <v>0</v>
      </c>
      <c r="B38" s="2"/>
      <c r="C38" s="2"/>
      <c r="D38" s="2"/>
      <c r="E38" s="2"/>
      <c r="F38" s="2"/>
      <c r="G38" s="2"/>
      <c r="H38" s="2"/>
      <c r="I38" s="2"/>
      <c r="J38" s="2"/>
      <c r="K38" s="2"/>
      <c r="L38" s="2"/>
      <c r="M38" s="2"/>
      <c r="N38" s="2"/>
      <c r="O38" s="2"/>
      <c r="P38" s="2"/>
      <c r="Q38" s="33" t="s">
        <v>289</v>
      </c>
      <c r="U38" s="69"/>
    </row>
    <row r="39" spans="1:46" x14ac:dyDescent="0.4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4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4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4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4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45">
      <c r="A44" s="2">
        <v>6</v>
      </c>
      <c r="B44" s="2"/>
      <c r="C44" s="2"/>
      <c r="D44" s="2"/>
      <c r="E44" s="2"/>
      <c r="F44" s="2"/>
      <c r="G44" s="2"/>
      <c r="H44" s="2"/>
      <c r="I44" s="2"/>
      <c r="J44" s="2"/>
      <c r="K44" s="2"/>
      <c r="L44" s="2"/>
      <c r="M44" s="2"/>
      <c r="N44" s="2"/>
      <c r="O44" s="2"/>
      <c r="P44" s="2"/>
      <c r="Q44" s="2"/>
      <c r="S44" s="5" t="s">
        <v>194</v>
      </c>
      <c r="T44" s="5">
        <v>0</v>
      </c>
      <c r="U44" s="5"/>
    </row>
    <row r="45" spans="1:46" x14ac:dyDescent="0.45">
      <c r="A45" s="2">
        <v>7</v>
      </c>
      <c r="B45" s="2"/>
      <c r="C45" s="2"/>
      <c r="D45" s="2"/>
      <c r="E45" s="2"/>
      <c r="F45" s="2"/>
      <c r="G45" s="2"/>
      <c r="H45" s="2"/>
      <c r="I45" s="2"/>
      <c r="J45" s="2"/>
      <c r="K45" s="2"/>
      <c r="L45" s="2"/>
      <c r="M45" s="2"/>
      <c r="N45" s="2"/>
      <c r="O45" s="2"/>
      <c r="P45" s="2"/>
      <c r="Q45" s="2"/>
      <c r="S45" s="46"/>
      <c r="T45" s="46"/>
      <c r="U45" s="70"/>
    </row>
    <row r="46" spans="1:46" x14ac:dyDescent="0.4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45">
      <c r="A47" s="2">
        <v>9</v>
      </c>
      <c r="B47" s="2"/>
      <c r="C47" s="2"/>
      <c r="D47" s="2"/>
      <c r="E47" s="2"/>
      <c r="F47" s="2"/>
      <c r="G47" s="2"/>
      <c r="H47" s="2"/>
      <c r="I47" s="2"/>
      <c r="J47" s="2"/>
      <c r="K47" s="2"/>
      <c r="L47" s="2"/>
      <c r="M47" s="2"/>
      <c r="N47" s="2"/>
      <c r="O47" s="2"/>
      <c r="P47" s="2"/>
      <c r="Q47" s="2"/>
      <c r="S47" s="5" t="s">
        <v>85</v>
      </c>
      <c r="T47" s="5">
        <v>1000</v>
      </c>
      <c r="U47" s="5" t="s">
        <v>45</v>
      </c>
    </row>
    <row r="48" spans="1:46" x14ac:dyDescent="0.45">
      <c r="A48" s="2">
        <v>10</v>
      </c>
      <c r="B48" s="2"/>
      <c r="C48" s="2"/>
      <c r="D48" s="2"/>
      <c r="E48" s="2"/>
      <c r="F48" s="2"/>
      <c r="G48" s="2"/>
      <c r="H48" s="2"/>
      <c r="I48" s="2"/>
      <c r="J48" s="2"/>
      <c r="K48" s="2"/>
      <c r="L48" s="2"/>
      <c r="M48" s="2"/>
      <c r="N48" s="2"/>
      <c r="O48" s="2"/>
      <c r="P48" s="2"/>
      <c r="Q48" s="2"/>
      <c r="S48" s="5" t="s">
        <v>86</v>
      </c>
      <c r="T48" s="5">
        <v>9000</v>
      </c>
      <c r="U48" s="5" t="s">
        <v>45</v>
      </c>
    </row>
    <row r="49" spans="1:22" x14ac:dyDescent="0.4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45">
      <c r="A50" s="2">
        <v>12</v>
      </c>
      <c r="B50" s="2"/>
      <c r="C50" s="2"/>
      <c r="D50" s="2"/>
      <c r="E50" s="2"/>
      <c r="F50" s="2"/>
      <c r="G50" s="2"/>
      <c r="H50" s="2"/>
      <c r="I50" s="2"/>
      <c r="J50" s="2"/>
      <c r="K50" s="2"/>
      <c r="L50" s="2"/>
      <c r="M50" s="2"/>
      <c r="N50" s="2"/>
      <c r="O50" s="2"/>
      <c r="P50" s="2"/>
      <c r="Q50" s="2"/>
      <c r="S50" s="5" t="s">
        <v>42</v>
      </c>
      <c r="T50" s="5">
        <v>2.85</v>
      </c>
      <c r="U50" s="5" t="s">
        <v>44</v>
      </c>
    </row>
    <row r="51" spans="1:22" x14ac:dyDescent="0.45">
      <c r="A51" s="2">
        <v>13</v>
      </c>
      <c r="B51" s="2"/>
      <c r="C51" s="2"/>
      <c r="D51" s="2"/>
      <c r="E51" s="2"/>
      <c r="F51" s="2"/>
      <c r="G51" s="2"/>
      <c r="H51" s="2"/>
      <c r="I51" s="2"/>
      <c r="J51" s="2"/>
      <c r="K51" s="2"/>
      <c r="L51" s="2"/>
      <c r="M51" s="2"/>
      <c r="N51" s="2"/>
      <c r="O51" s="2"/>
      <c r="P51" s="2"/>
      <c r="Q51" s="2"/>
      <c r="S51" s="5" t="s">
        <v>46</v>
      </c>
      <c r="T51" s="5" t="s">
        <v>82</v>
      </c>
      <c r="U51" s="5" t="s">
        <v>90</v>
      </c>
    </row>
    <row r="52" spans="1:22" x14ac:dyDescent="0.45">
      <c r="A52" s="2">
        <v>14</v>
      </c>
      <c r="B52" s="2"/>
      <c r="C52" s="2"/>
      <c r="D52" s="2"/>
      <c r="E52" s="2"/>
      <c r="F52" s="2"/>
      <c r="G52" s="2"/>
      <c r="H52" s="2"/>
      <c r="I52" s="2"/>
      <c r="J52" s="2"/>
      <c r="K52" s="2"/>
      <c r="L52" s="2"/>
      <c r="M52" s="2"/>
      <c r="N52" s="2"/>
      <c r="O52" s="2"/>
      <c r="P52" s="2"/>
      <c r="Q52" s="2"/>
      <c r="S52" s="5" t="s">
        <v>108</v>
      </c>
      <c r="T52" s="5" t="s">
        <v>153</v>
      </c>
      <c r="U52" s="5"/>
    </row>
    <row r="53" spans="1:22" x14ac:dyDescent="0.45">
      <c r="A53" s="2">
        <v>15</v>
      </c>
      <c r="B53" s="2"/>
      <c r="C53" s="2"/>
      <c r="D53" s="2"/>
      <c r="E53" s="2"/>
      <c r="F53" s="2"/>
      <c r="G53" s="2"/>
      <c r="H53" s="2"/>
      <c r="I53" s="2"/>
      <c r="J53" s="2"/>
      <c r="K53" s="2"/>
      <c r="L53" s="2"/>
      <c r="M53" s="2"/>
      <c r="N53" s="2"/>
      <c r="O53" s="2"/>
      <c r="P53" s="2"/>
      <c r="Q53" s="2"/>
      <c r="S53" s="5" t="s">
        <v>152</v>
      </c>
      <c r="T53" s="5" t="s">
        <v>125</v>
      </c>
      <c r="U53" s="5"/>
    </row>
    <row r="54" spans="1:22" x14ac:dyDescent="0.45">
      <c r="S54" s="5" t="s">
        <v>167</v>
      </c>
      <c r="T54" s="5">
        <v>20</v>
      </c>
      <c r="U54" s="5" t="s">
        <v>44</v>
      </c>
    </row>
    <row r="55" spans="1:22" x14ac:dyDescent="0.45">
      <c r="S55" s="5" t="s">
        <v>168</v>
      </c>
      <c r="T55" s="5">
        <v>10</v>
      </c>
      <c r="U55" s="5" t="s">
        <v>44</v>
      </c>
    </row>
    <row r="56" spans="1:22" x14ac:dyDescent="0.45">
      <c r="S56" s="5" t="s">
        <v>169</v>
      </c>
      <c r="T56" s="5">
        <v>0.3</v>
      </c>
      <c r="U56" s="5" t="s">
        <v>44</v>
      </c>
    </row>
    <row r="57" spans="1:22" x14ac:dyDescent="0.45">
      <c r="S57" s="62" t="s">
        <v>339</v>
      </c>
      <c r="T57" s="5">
        <v>0</v>
      </c>
      <c r="U57" s="5"/>
      <c r="V57" s="1"/>
    </row>
    <row r="58" spans="1:22" x14ac:dyDescent="0.45">
      <c r="S58" s="5" t="s">
        <v>154</v>
      </c>
      <c r="T58" s="5" t="s">
        <v>166</v>
      </c>
      <c r="U58" s="5" t="s">
        <v>158</v>
      </c>
    </row>
    <row r="59" spans="1:22" x14ac:dyDescent="0.45">
      <c r="S59" s="5" t="s">
        <v>159</v>
      </c>
      <c r="T59" s="5">
        <v>5</v>
      </c>
      <c r="U59" s="5" t="s">
        <v>44</v>
      </c>
      <c r="V59" s="1"/>
    </row>
    <row r="60" spans="1:22" x14ac:dyDescent="0.45">
      <c r="S60" s="5" t="s">
        <v>160</v>
      </c>
      <c r="T60" s="5">
        <v>7</v>
      </c>
      <c r="U60" s="5" t="s">
        <v>90</v>
      </c>
    </row>
    <row r="61" spans="1:22" x14ac:dyDescent="0.45">
      <c r="S61" s="5" t="s">
        <v>161</v>
      </c>
      <c r="T61" s="5">
        <v>2500</v>
      </c>
      <c r="U61" s="5" t="s">
        <v>45</v>
      </c>
    </row>
    <row r="62" spans="1:22" x14ac:dyDescent="0.45">
      <c r="S62" s="5" t="s">
        <v>162</v>
      </c>
      <c r="T62" s="5">
        <f>-T60</f>
        <v>-7</v>
      </c>
      <c r="U62" s="5" t="s">
        <v>90</v>
      </c>
    </row>
    <row r="63" spans="1:22" x14ac:dyDescent="0.45">
      <c r="S63" s="3" t="s">
        <v>163</v>
      </c>
      <c r="T63" s="3">
        <f>T61</f>
        <v>2500</v>
      </c>
      <c r="U63" s="5" t="s">
        <v>45</v>
      </c>
    </row>
    <row r="64" spans="1:22" x14ac:dyDescent="0.45">
      <c r="S64" s="3" t="s">
        <v>164</v>
      </c>
      <c r="T64" s="3">
        <v>0.2</v>
      </c>
      <c r="U64" s="5" t="s">
        <v>44</v>
      </c>
    </row>
    <row r="65" spans="1:46" x14ac:dyDescent="0.45">
      <c r="S65" s="3" t="s">
        <v>165</v>
      </c>
      <c r="T65" s="3">
        <v>7500</v>
      </c>
      <c r="U65" s="5" t="s">
        <v>45</v>
      </c>
    </row>
    <row r="66" spans="1:46" x14ac:dyDescent="0.45">
      <c r="U66" s="69"/>
    </row>
    <row r="67" spans="1:46" x14ac:dyDescent="0.45">
      <c r="S67" s="75" t="s">
        <v>292</v>
      </c>
      <c r="T67" s="75" t="s">
        <v>293</v>
      </c>
      <c r="U67" s="76" t="s">
        <v>331</v>
      </c>
    </row>
    <row r="68" spans="1:46" x14ac:dyDescent="0.45">
      <c r="S68" s="59"/>
      <c r="T68" s="59"/>
      <c r="U68" s="71" t="s">
        <v>109</v>
      </c>
    </row>
    <row r="69" spans="1:46" x14ac:dyDescent="0.45">
      <c r="S69" s="59"/>
      <c r="T69" s="59"/>
      <c r="U69" s="71" t="s">
        <v>109</v>
      </c>
    </row>
    <row r="71" spans="1:46" x14ac:dyDescent="0.4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45">
      <c r="A72" s="32" t="s">
        <v>0</v>
      </c>
      <c r="B72" s="2"/>
      <c r="C72" s="2"/>
      <c r="D72" s="2"/>
      <c r="E72" s="2"/>
      <c r="F72" s="2"/>
      <c r="G72" s="2"/>
      <c r="H72" s="2"/>
      <c r="I72" s="2"/>
      <c r="J72" s="2"/>
      <c r="K72" s="2"/>
      <c r="L72" s="2"/>
      <c r="M72" s="2"/>
      <c r="N72" s="2"/>
      <c r="O72" s="2"/>
      <c r="P72" s="2"/>
      <c r="Q72" s="33" t="s">
        <v>289</v>
      </c>
      <c r="U72" s="69"/>
    </row>
    <row r="73" spans="1:46" x14ac:dyDescent="0.45">
      <c r="A73" s="2">
        <v>1</v>
      </c>
      <c r="B73" s="2" t="s">
        <v>614</v>
      </c>
      <c r="C73" s="2"/>
      <c r="D73" s="2"/>
      <c r="E73" s="2"/>
      <c r="F73" s="2"/>
      <c r="G73" s="2"/>
      <c r="H73" s="2"/>
      <c r="I73" s="2"/>
      <c r="J73" s="2"/>
      <c r="K73" s="2"/>
      <c r="L73" s="2"/>
      <c r="M73" s="2"/>
      <c r="N73" s="2"/>
      <c r="O73" s="2"/>
      <c r="P73" s="2"/>
      <c r="Q73" s="2"/>
      <c r="S73" s="74" t="s">
        <v>40</v>
      </c>
      <c r="T73" s="3"/>
      <c r="U73" s="5"/>
    </row>
    <row r="74" spans="1:46" x14ac:dyDescent="0.45">
      <c r="A74" s="2">
        <v>2</v>
      </c>
      <c r="B74" s="2"/>
      <c r="C74" s="2"/>
      <c r="D74" s="2"/>
      <c r="E74" s="2"/>
      <c r="F74" s="2"/>
      <c r="G74" s="2"/>
      <c r="H74" s="2"/>
      <c r="I74" s="2"/>
      <c r="J74" s="2"/>
      <c r="K74" s="2"/>
      <c r="L74" s="2"/>
      <c r="M74" s="2"/>
      <c r="N74" s="2"/>
      <c r="O74" s="2"/>
      <c r="P74" s="2"/>
      <c r="Q74" s="2"/>
      <c r="S74" s="5" t="s">
        <v>98</v>
      </c>
      <c r="T74" s="5">
        <v>0.25</v>
      </c>
      <c r="U74" s="5" t="s">
        <v>44</v>
      </c>
    </row>
    <row r="75" spans="1:46" x14ac:dyDescent="0.4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45">
      <c r="A76" s="2">
        <v>4</v>
      </c>
      <c r="B76" s="2"/>
      <c r="C76" s="2"/>
      <c r="D76" s="2"/>
      <c r="E76" s="2"/>
      <c r="F76" s="2"/>
      <c r="G76" s="2"/>
      <c r="H76" s="2"/>
      <c r="I76" s="2"/>
      <c r="J76" s="2"/>
      <c r="K76" s="2"/>
      <c r="L76" s="2"/>
      <c r="M76" s="2"/>
      <c r="N76" s="2"/>
      <c r="O76" s="2"/>
      <c r="P76" s="2"/>
      <c r="Q76" s="2"/>
      <c r="S76" s="5" t="s">
        <v>88</v>
      </c>
      <c r="T76" s="5">
        <v>0.5</v>
      </c>
      <c r="U76" s="5" t="s">
        <v>89</v>
      </c>
    </row>
    <row r="77" spans="1:46" x14ac:dyDescent="0.4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45">
      <c r="A78" s="2">
        <v>6</v>
      </c>
      <c r="B78" s="2"/>
      <c r="C78" s="2"/>
      <c r="D78" s="2"/>
      <c r="E78" s="2"/>
      <c r="F78" s="2"/>
      <c r="G78" s="2"/>
      <c r="H78" s="2"/>
      <c r="I78" s="2"/>
      <c r="J78" s="2"/>
      <c r="K78" s="2"/>
      <c r="L78" s="2"/>
      <c r="M78" s="2"/>
      <c r="N78" s="2"/>
      <c r="O78" s="2"/>
      <c r="P78" s="2"/>
      <c r="Q78" s="2"/>
      <c r="S78" s="5" t="s">
        <v>194</v>
      </c>
      <c r="T78" s="5">
        <v>0</v>
      </c>
      <c r="U78" s="5"/>
    </row>
    <row r="79" spans="1:46" x14ac:dyDescent="0.45">
      <c r="A79" s="2">
        <v>7</v>
      </c>
      <c r="B79" s="2"/>
      <c r="C79" s="2"/>
      <c r="D79" s="2"/>
      <c r="E79" s="2"/>
      <c r="F79" s="2"/>
      <c r="G79" s="2"/>
      <c r="H79" s="2"/>
      <c r="I79" s="2"/>
      <c r="J79" s="2"/>
      <c r="K79" s="2"/>
      <c r="L79" s="2"/>
      <c r="M79" s="2"/>
      <c r="N79" s="2"/>
      <c r="O79" s="2"/>
      <c r="P79" s="2"/>
      <c r="Q79" s="2"/>
      <c r="S79" s="46"/>
      <c r="T79" s="46"/>
      <c r="U79" s="70"/>
    </row>
    <row r="80" spans="1:46" x14ac:dyDescent="0.4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45">
      <c r="A81" s="2">
        <v>9</v>
      </c>
      <c r="B81" s="2"/>
      <c r="C81" s="2"/>
      <c r="D81" s="2"/>
      <c r="E81" s="2"/>
      <c r="F81" s="2"/>
      <c r="G81" s="2"/>
      <c r="H81" s="2"/>
      <c r="I81" s="2"/>
      <c r="J81" s="2"/>
      <c r="K81" s="2"/>
      <c r="L81" s="2"/>
      <c r="M81" s="2"/>
      <c r="N81" s="2"/>
      <c r="O81" s="2"/>
      <c r="P81" s="2"/>
      <c r="Q81" s="2"/>
      <c r="S81" s="5" t="s">
        <v>85</v>
      </c>
      <c r="T81" s="5">
        <v>1500</v>
      </c>
      <c r="U81" s="5" t="s">
        <v>45</v>
      </c>
    </row>
    <row r="82" spans="1:34" x14ac:dyDescent="0.45">
      <c r="A82" s="2">
        <v>10</v>
      </c>
      <c r="B82" s="2"/>
      <c r="C82" s="2"/>
      <c r="D82" s="2"/>
      <c r="E82" s="2"/>
      <c r="F82" s="2"/>
      <c r="G82" s="2"/>
      <c r="H82" s="2"/>
      <c r="I82" s="2"/>
      <c r="J82" s="2"/>
      <c r="K82" s="2"/>
      <c r="L82" s="2"/>
      <c r="M82" s="2"/>
      <c r="N82" s="2"/>
      <c r="O82" s="2"/>
      <c r="P82" s="2"/>
      <c r="Q82" s="2"/>
      <c r="S82" s="5" t="s">
        <v>86</v>
      </c>
      <c r="T82" s="5">
        <v>48000</v>
      </c>
      <c r="U82" s="5" t="s">
        <v>45</v>
      </c>
    </row>
    <row r="83" spans="1:34" x14ac:dyDescent="0.4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4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4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4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4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45">
      <c r="S88" s="5" t="s">
        <v>167</v>
      </c>
      <c r="T88" s="5">
        <v>20</v>
      </c>
      <c r="U88" s="5" t="s">
        <v>44</v>
      </c>
    </row>
    <row r="89" spans="1:34" x14ac:dyDescent="0.45">
      <c r="S89" s="5" t="s">
        <v>168</v>
      </c>
      <c r="T89" s="5">
        <v>10</v>
      </c>
      <c r="U89" s="5" t="s">
        <v>44</v>
      </c>
    </row>
    <row r="90" spans="1:34" x14ac:dyDescent="0.45">
      <c r="S90" s="5" t="s">
        <v>169</v>
      </c>
      <c r="T90" s="5">
        <v>0.3</v>
      </c>
      <c r="U90" s="5" t="s">
        <v>44</v>
      </c>
    </row>
    <row r="91" spans="1:34" x14ac:dyDescent="0.45">
      <c r="S91" s="62" t="s">
        <v>339</v>
      </c>
      <c r="T91" s="5">
        <v>185</v>
      </c>
      <c r="U91" s="5"/>
      <c r="V91" s="1"/>
    </row>
    <row r="92" spans="1:34" x14ac:dyDescent="0.45">
      <c r="S92" s="5" t="s">
        <v>154</v>
      </c>
      <c r="T92" s="5" t="s">
        <v>632</v>
      </c>
      <c r="U92" s="5" t="s">
        <v>158</v>
      </c>
    </row>
    <row r="93" spans="1:34" x14ac:dyDescent="0.45">
      <c r="S93" s="5" t="s">
        <v>159</v>
      </c>
      <c r="T93" s="5">
        <v>2</v>
      </c>
      <c r="U93" s="5" t="s">
        <v>44</v>
      </c>
      <c r="V93" s="1"/>
    </row>
    <row r="94" spans="1:34" x14ac:dyDescent="0.45">
      <c r="S94" s="5" t="s">
        <v>160</v>
      </c>
      <c r="T94" s="5">
        <v>1.25</v>
      </c>
      <c r="U94" s="5" t="s">
        <v>90</v>
      </c>
    </row>
    <row r="95" spans="1:34" x14ac:dyDescent="0.45">
      <c r="S95" s="5" t="s">
        <v>161</v>
      </c>
      <c r="T95" s="5">
        <v>2500</v>
      </c>
      <c r="U95" s="5" t="s">
        <v>45</v>
      </c>
    </row>
    <row r="96" spans="1:34" x14ac:dyDescent="0.45">
      <c r="S96" s="5" t="s">
        <v>162</v>
      </c>
      <c r="T96" s="5">
        <v>0</v>
      </c>
      <c r="U96" s="5" t="s">
        <v>90</v>
      </c>
    </row>
    <row r="97" spans="1:46" x14ac:dyDescent="0.45">
      <c r="S97" s="3" t="s">
        <v>163</v>
      </c>
      <c r="T97" s="3">
        <f>T95</f>
        <v>2500</v>
      </c>
      <c r="U97" s="5" t="s">
        <v>45</v>
      </c>
    </row>
    <row r="98" spans="1:46" x14ac:dyDescent="0.45">
      <c r="S98" s="3" t="s">
        <v>164</v>
      </c>
      <c r="T98" s="3">
        <v>0.65</v>
      </c>
      <c r="U98" s="5" t="s">
        <v>44</v>
      </c>
    </row>
    <row r="99" spans="1:46" x14ac:dyDescent="0.45">
      <c r="S99" s="3" t="s">
        <v>165</v>
      </c>
      <c r="T99" s="3">
        <v>10000</v>
      </c>
      <c r="U99" s="5" t="s">
        <v>45</v>
      </c>
    </row>
    <row r="100" spans="1:46" x14ac:dyDescent="0.45">
      <c r="U100" s="69"/>
    </row>
    <row r="101" spans="1:46" x14ac:dyDescent="0.45">
      <c r="S101" s="75" t="s">
        <v>292</v>
      </c>
      <c r="T101" s="75" t="s">
        <v>293</v>
      </c>
      <c r="U101" s="76" t="s">
        <v>331</v>
      </c>
    </row>
    <row r="102" spans="1:46" x14ac:dyDescent="0.45">
      <c r="S102" s="59" t="s">
        <v>644</v>
      </c>
      <c r="T102" s="59" t="s">
        <v>467</v>
      </c>
      <c r="U102" s="71" t="s">
        <v>109</v>
      </c>
    </row>
    <row r="103" spans="1:46" x14ac:dyDescent="0.45">
      <c r="S103" s="59"/>
      <c r="T103" s="59"/>
      <c r="U103" s="71" t="s">
        <v>109</v>
      </c>
    </row>
    <row r="105" spans="1:46" x14ac:dyDescent="0.4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45">
      <c r="A106" s="32" t="s">
        <v>0</v>
      </c>
      <c r="B106" s="2"/>
      <c r="C106" s="2"/>
      <c r="D106" s="2"/>
      <c r="E106" s="2"/>
      <c r="F106" s="2"/>
      <c r="G106" s="2"/>
      <c r="H106" s="2"/>
      <c r="I106" s="2"/>
      <c r="J106" s="2"/>
      <c r="K106" s="2"/>
      <c r="L106" s="2"/>
      <c r="M106" s="2"/>
      <c r="N106" s="2"/>
      <c r="O106" s="2"/>
      <c r="P106" s="2"/>
      <c r="Q106" s="33" t="s">
        <v>289</v>
      </c>
      <c r="U106" s="69"/>
    </row>
    <row r="107" spans="1:46" x14ac:dyDescent="0.4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4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4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4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4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4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45">
      <c r="A113" s="2">
        <v>7</v>
      </c>
      <c r="B113" s="2"/>
      <c r="C113" s="2"/>
      <c r="D113" s="2"/>
      <c r="E113" s="2"/>
      <c r="F113" s="2"/>
      <c r="G113" s="2"/>
      <c r="H113" s="2"/>
      <c r="I113" s="2"/>
      <c r="J113" s="2"/>
      <c r="K113" s="2"/>
      <c r="L113" s="2"/>
      <c r="M113" s="2"/>
      <c r="N113" s="2"/>
      <c r="O113" s="2"/>
      <c r="P113" s="2"/>
      <c r="Q113" s="2"/>
      <c r="S113" s="46"/>
      <c r="T113" s="46"/>
      <c r="U113" s="70"/>
    </row>
    <row r="114" spans="1:34" x14ac:dyDescent="0.4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4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4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4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4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4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4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4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45">
      <c r="S122" s="5" t="s">
        <v>167</v>
      </c>
      <c r="T122" s="5">
        <v>20</v>
      </c>
      <c r="U122" s="5" t="s">
        <v>44</v>
      </c>
    </row>
    <row r="123" spans="1:34" x14ac:dyDescent="0.45">
      <c r="S123" s="5" t="s">
        <v>168</v>
      </c>
      <c r="T123" s="5">
        <v>10</v>
      </c>
      <c r="U123" s="5" t="s">
        <v>44</v>
      </c>
    </row>
    <row r="124" spans="1:34" x14ac:dyDescent="0.45">
      <c r="S124" s="5" t="s">
        <v>169</v>
      </c>
      <c r="T124" s="5">
        <v>0.3</v>
      </c>
      <c r="U124" s="5" t="s">
        <v>44</v>
      </c>
    </row>
    <row r="125" spans="1:34" x14ac:dyDescent="0.45">
      <c r="S125" s="62" t="s">
        <v>339</v>
      </c>
      <c r="T125" s="5">
        <v>185</v>
      </c>
      <c r="U125" s="5"/>
      <c r="V125" s="1"/>
    </row>
    <row r="126" spans="1:34" x14ac:dyDescent="0.45">
      <c r="S126" s="5" t="s">
        <v>154</v>
      </c>
      <c r="T126" s="5" t="s">
        <v>632</v>
      </c>
      <c r="U126" s="5" t="s">
        <v>158</v>
      </c>
    </row>
    <row r="127" spans="1:34" x14ac:dyDescent="0.45">
      <c r="S127" s="5" t="s">
        <v>159</v>
      </c>
      <c r="T127" s="5">
        <v>2</v>
      </c>
      <c r="U127" s="5" t="s">
        <v>44</v>
      </c>
      <c r="V127" s="1"/>
    </row>
    <row r="128" spans="1:34" x14ac:dyDescent="0.45">
      <c r="S128" s="5" t="s">
        <v>160</v>
      </c>
      <c r="T128" s="5">
        <v>1.25</v>
      </c>
      <c r="U128" s="5" t="s">
        <v>90</v>
      </c>
    </row>
    <row r="129" spans="1:46" x14ac:dyDescent="0.45">
      <c r="S129" s="5" t="s">
        <v>161</v>
      </c>
      <c r="T129" s="5">
        <v>2500</v>
      </c>
      <c r="U129" s="5" t="s">
        <v>45</v>
      </c>
    </row>
    <row r="130" spans="1:46" x14ac:dyDescent="0.45">
      <c r="S130" s="5" t="s">
        <v>162</v>
      </c>
      <c r="T130" s="5">
        <v>0</v>
      </c>
      <c r="U130" s="5" t="s">
        <v>90</v>
      </c>
    </row>
    <row r="131" spans="1:46" x14ac:dyDescent="0.45">
      <c r="S131" s="3" t="s">
        <v>163</v>
      </c>
      <c r="T131" s="3">
        <f>T129</f>
        <v>2500</v>
      </c>
      <c r="U131" s="5" t="s">
        <v>45</v>
      </c>
    </row>
    <row r="132" spans="1:46" x14ac:dyDescent="0.45">
      <c r="S132" s="3" t="s">
        <v>164</v>
      </c>
      <c r="T132" s="3">
        <v>0.65</v>
      </c>
      <c r="U132" s="5" t="s">
        <v>44</v>
      </c>
    </row>
    <row r="133" spans="1:46" x14ac:dyDescent="0.45">
      <c r="S133" s="3" t="s">
        <v>165</v>
      </c>
      <c r="T133" s="3">
        <v>10000</v>
      </c>
      <c r="U133" s="5" t="s">
        <v>45</v>
      </c>
    </row>
    <row r="134" spans="1:46" x14ac:dyDescent="0.45">
      <c r="U134" s="69"/>
    </row>
    <row r="135" spans="1:46" x14ac:dyDescent="0.45">
      <c r="S135" s="75" t="s">
        <v>292</v>
      </c>
      <c r="T135" s="75" t="s">
        <v>293</v>
      </c>
      <c r="U135" s="76" t="s">
        <v>331</v>
      </c>
    </row>
    <row r="136" spans="1:46" x14ac:dyDescent="0.45">
      <c r="S136" s="59"/>
      <c r="T136" s="59"/>
      <c r="U136" s="71" t="s">
        <v>109</v>
      </c>
    </row>
    <row r="137" spans="1:46" x14ac:dyDescent="0.45">
      <c r="S137" s="59"/>
      <c r="T137" s="59"/>
      <c r="U137" s="71" t="s">
        <v>109</v>
      </c>
    </row>
    <row r="139" spans="1:46" x14ac:dyDescent="0.4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45">
      <c r="A140" s="32" t="s">
        <v>0</v>
      </c>
      <c r="B140" s="2"/>
      <c r="C140" s="2"/>
      <c r="D140" s="2"/>
      <c r="E140" s="2"/>
      <c r="F140" s="2"/>
      <c r="G140" s="2"/>
      <c r="H140" s="2"/>
      <c r="I140" s="2"/>
      <c r="J140" s="2"/>
      <c r="K140" s="2"/>
      <c r="L140" s="2"/>
      <c r="M140" s="2"/>
      <c r="N140" s="2"/>
      <c r="O140" s="2"/>
      <c r="P140" s="2"/>
      <c r="Q140" s="33" t="s">
        <v>289</v>
      </c>
      <c r="U140" s="69"/>
    </row>
    <row r="141" spans="1:46" x14ac:dyDescent="0.4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4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4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4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45">
      <c r="A145" s="2">
        <v>5</v>
      </c>
      <c r="B145" s="2" t="s">
        <v>1</v>
      </c>
      <c r="C145" s="2" t="s">
        <v>18</v>
      </c>
      <c r="D145" s="2" t="s">
        <v>100</v>
      </c>
      <c r="E145" s="2" t="s">
        <v>100</v>
      </c>
      <c r="F145" s="2" t="s">
        <v>100</v>
      </c>
      <c r="G145" s="2" t="s">
        <v>100</v>
      </c>
      <c r="H145" s="2" t="str" cm="1">
        <f t="array" ref="H145">CONCATENATE("R", Length)</f>
        <v>R100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4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45">
      <c r="A147" s="2">
        <v>7</v>
      </c>
      <c r="B147" s="2" t="s">
        <v>1</v>
      </c>
      <c r="C147" s="2" t="s">
        <v>18</v>
      </c>
      <c r="D147" s="2" t="s">
        <v>100</v>
      </c>
      <c r="E147" s="2" t="s">
        <v>100</v>
      </c>
      <c r="F147" s="2" t="s">
        <v>100</v>
      </c>
      <c r="G147" s="2" t="s">
        <v>100</v>
      </c>
      <c r="H147" s="2" t="str">
        <f>CONCATENATE("R-", Length)</f>
        <v>R-100</v>
      </c>
      <c r="I147" s="2" t="s">
        <v>100</v>
      </c>
      <c r="J147" s="2" t="s">
        <v>19</v>
      </c>
      <c r="K147" s="2" t="e">
        <f>ExtrusionWidth</f>
        <v>#NAME?</v>
      </c>
      <c r="L147" s="2" t="e">
        <f>ExtrusionHeight</f>
        <v>#NAME?</v>
      </c>
      <c r="M147" s="2"/>
      <c r="N147" s="2"/>
      <c r="O147" s="2"/>
      <c r="P147" s="2"/>
      <c r="Q147" s="2"/>
      <c r="S147" s="46"/>
      <c r="T147" s="46"/>
      <c r="U147" s="70"/>
    </row>
    <row r="148" spans="1:34" x14ac:dyDescent="0.4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4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4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4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4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45">
      <c r="A153" s="2">
        <v>13</v>
      </c>
      <c r="B153" s="91" t="s">
        <v>1</v>
      </c>
      <c r="C153" s="2" t="s">
        <v>18</v>
      </c>
      <c r="D153" s="2" t="e">
        <f>StartX+ExtrusionSpacing_L1</f>
        <v>#NAME?</v>
      </c>
      <c r="E153" s="2" t="e">
        <f>StartY+Length+ExtrusionSpacing_L1</f>
        <v>#NAME?</v>
      </c>
      <c r="F153" s="2">
        <v>1E-4</v>
      </c>
      <c r="G153" s="2" t="s">
        <v>100</v>
      </c>
      <c r="H153" s="2" t="str">
        <f>CONCATENATE("R-", Length)</f>
        <v>R-100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4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45">
      <c r="A155" s="2">
        <v>15</v>
      </c>
      <c r="B155" s="91" t="s">
        <v>1</v>
      </c>
      <c r="C155" s="2" t="s">
        <v>18</v>
      </c>
      <c r="D155" s="2" t="s">
        <v>100</v>
      </c>
      <c r="E155" s="2" t="s">
        <v>100</v>
      </c>
      <c r="F155" s="2" t="s">
        <v>100</v>
      </c>
      <c r="G155" s="2" t="s">
        <v>100</v>
      </c>
      <c r="H155" s="2" t="str" cm="1">
        <f t="array" ref="H155">CONCATENATE("R", Length)</f>
        <v>R100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4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4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4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4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4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45">
      <c r="A161" s="2">
        <v>21</v>
      </c>
      <c r="B161" s="2" t="s">
        <v>1</v>
      </c>
      <c r="C161" s="2" t="s">
        <v>18</v>
      </c>
      <c r="D161" s="2" t="s">
        <v>100</v>
      </c>
      <c r="E161" s="2" t="s">
        <v>100</v>
      </c>
      <c r="F161" s="2" t="s">
        <v>100</v>
      </c>
      <c r="G161" s="2" t="s">
        <v>100</v>
      </c>
      <c r="H161" s="2" t="str" cm="1">
        <f t="array" ref="H161">CONCATENATE("R", Length)</f>
        <v>R100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4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45">
      <c r="A163" s="2">
        <v>23</v>
      </c>
      <c r="B163" s="2" t="s">
        <v>1</v>
      </c>
      <c r="C163" s="2" t="s">
        <v>18</v>
      </c>
      <c r="D163" s="2" t="s">
        <v>100</v>
      </c>
      <c r="E163" s="2" t="s">
        <v>100</v>
      </c>
      <c r="F163" s="2" t="s">
        <v>100</v>
      </c>
      <c r="G163" s="2" t="s">
        <v>100</v>
      </c>
      <c r="H163" s="2" t="str">
        <f>CONCATENATE("R-", Length)</f>
        <v>R-100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4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4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4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4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4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45">
      <c r="A169" s="2">
        <v>29</v>
      </c>
      <c r="B169" s="91" t="s">
        <v>1</v>
      </c>
      <c r="C169" s="2" t="s">
        <v>18</v>
      </c>
      <c r="D169" s="2" t="e">
        <f>StartX+ExtrusionSpacing_L1</f>
        <v>#NAME?</v>
      </c>
      <c r="E169" s="2" t="e">
        <f>StartY+Length+ExtrusionSpacing_L1</f>
        <v>#NAME?</v>
      </c>
      <c r="F169" s="2">
        <v>0.9</v>
      </c>
      <c r="G169" s="2" t="s">
        <v>100</v>
      </c>
      <c r="H169" s="2" t="str">
        <f>CONCATENATE("R-", Length)</f>
        <v>R-100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4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45">
      <c r="A171" s="2">
        <v>31</v>
      </c>
      <c r="B171" s="91" t="s">
        <v>1</v>
      </c>
      <c r="C171" s="2" t="s">
        <v>18</v>
      </c>
      <c r="D171" s="2" t="s">
        <v>100</v>
      </c>
      <c r="E171" s="2" t="s">
        <v>100</v>
      </c>
      <c r="F171" s="2" t="s">
        <v>100</v>
      </c>
      <c r="G171" s="2" t="s">
        <v>100</v>
      </c>
      <c r="H171" s="2" t="str" cm="1">
        <f t="array" ref="H171">CONCATENATE("R", Length)</f>
        <v>R100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4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4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4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4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4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4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4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4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4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2" sqref="B2:P2"/>
    </sheetView>
  </sheetViews>
  <sheetFormatPr defaultRowHeight="14.25" x14ac:dyDescent="0.45"/>
  <cols>
    <col min="2" max="2" width="9.1328125" customWidth="1"/>
    <col min="3" max="3" width="24.59765625" bestFit="1" customWidth="1"/>
    <col min="4" max="4" width="20.86328125" customWidth="1"/>
    <col min="7" max="7" width="29.86328125" customWidth="1"/>
  </cols>
  <sheetData>
    <row r="1" spans="1:21" ht="30.75" x14ac:dyDescent="0.9">
      <c r="B1" s="60" t="s">
        <v>341</v>
      </c>
    </row>
    <row r="2" spans="1:21" x14ac:dyDescent="0.4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4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4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4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4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45">
      <c r="B7" s="1" t="s">
        <v>9</v>
      </c>
      <c r="C7" s="1" t="s">
        <v>3</v>
      </c>
      <c r="D7" s="1" t="s">
        <v>4</v>
      </c>
      <c r="E7" s="1" t="s">
        <v>5</v>
      </c>
      <c r="F7" s="1" t="s">
        <v>6</v>
      </c>
      <c r="G7" s="1" t="s">
        <v>37</v>
      </c>
      <c r="H7" s="1" t="s">
        <v>16</v>
      </c>
      <c r="I7" s="1" t="s">
        <v>15</v>
      </c>
      <c r="J7" s="1" t="s">
        <v>11</v>
      </c>
      <c r="K7" s="1" t="s">
        <v>273</v>
      </c>
      <c r="L7" s="1"/>
      <c r="M7" s="1"/>
      <c r="N7" s="1"/>
      <c r="O7" s="1"/>
      <c r="P7" s="1"/>
      <c r="Q7" s="1"/>
    </row>
    <row r="8" spans="1:21" x14ac:dyDescent="0.45">
      <c r="B8" s="1" t="s">
        <v>65</v>
      </c>
      <c r="C8" s="1" t="s">
        <v>73</v>
      </c>
      <c r="D8" s="1" t="s">
        <v>74</v>
      </c>
      <c r="E8" s="1" t="s">
        <v>75</v>
      </c>
      <c r="F8" s="1" t="s">
        <v>68</v>
      </c>
      <c r="G8" s="1" t="s">
        <v>70</v>
      </c>
      <c r="H8" s="1" t="s">
        <v>16</v>
      </c>
      <c r="I8" s="1" t="s">
        <v>67</v>
      </c>
      <c r="J8" s="1" t="s">
        <v>15</v>
      </c>
      <c r="K8" s="1" t="s">
        <v>11</v>
      </c>
      <c r="L8" s="1" t="s">
        <v>273</v>
      </c>
      <c r="M8" s="1"/>
      <c r="N8" s="1"/>
      <c r="O8" s="1"/>
    </row>
    <row r="9" spans="1:21" x14ac:dyDescent="0.45">
      <c r="B9" s="1" t="s">
        <v>109</v>
      </c>
    </row>
    <row r="10" spans="1:21" x14ac:dyDescent="0.45">
      <c r="B10" s="1" t="s">
        <v>55</v>
      </c>
      <c r="C10" s="1" t="s">
        <v>57</v>
      </c>
      <c r="D10" s="1" t="s">
        <v>78</v>
      </c>
      <c r="E10" s="1" t="s">
        <v>79</v>
      </c>
      <c r="F10" s="1" t="s">
        <v>80</v>
      </c>
      <c r="G10" s="1" t="s">
        <v>21</v>
      </c>
      <c r="I10" s="1"/>
    </row>
    <row r="11" spans="1:21" x14ac:dyDescent="0.45">
      <c r="B11" s="1" t="s">
        <v>54</v>
      </c>
      <c r="C11" s="1" t="s">
        <v>57</v>
      </c>
      <c r="D11" s="1" t="s">
        <v>73</v>
      </c>
      <c r="E11" s="1" t="s">
        <v>74</v>
      </c>
      <c r="F11" s="1" t="s">
        <v>58</v>
      </c>
      <c r="G11" s="1" t="s">
        <v>56</v>
      </c>
      <c r="H11" s="1" t="s">
        <v>21</v>
      </c>
    </row>
    <row r="12" spans="1:21" x14ac:dyDescent="0.45">
      <c r="A12" s="27"/>
      <c r="B12" s="1" t="s">
        <v>147</v>
      </c>
      <c r="C12" s="1" t="s">
        <v>12</v>
      </c>
      <c r="D12" s="1" t="s">
        <v>122</v>
      </c>
      <c r="E12" s="1" t="s">
        <v>3</v>
      </c>
      <c r="F12" s="1" t="s">
        <v>4</v>
      </c>
      <c r="G12" s="1" t="s">
        <v>5</v>
      </c>
      <c r="H12" s="1" t="s">
        <v>6</v>
      </c>
    </row>
    <row r="13" spans="1:21" x14ac:dyDescent="0.45">
      <c r="B13" s="1" t="s">
        <v>148</v>
      </c>
      <c r="C13" s="1" t="s">
        <v>12</v>
      </c>
      <c r="D13" s="1" t="s">
        <v>2</v>
      </c>
      <c r="E13" s="1" t="s">
        <v>7</v>
      </c>
      <c r="F13" s="1" t="s">
        <v>8</v>
      </c>
      <c r="G13" s="1" t="s">
        <v>123</v>
      </c>
      <c r="H13" s="1"/>
      <c r="I13" s="1" t="s">
        <v>502</v>
      </c>
    </row>
    <row r="14" spans="1:21" x14ac:dyDescent="0.45">
      <c r="B14" s="1" t="s">
        <v>176</v>
      </c>
      <c r="C14" s="1" t="s">
        <v>12</v>
      </c>
      <c r="D14" s="1" t="s">
        <v>37</v>
      </c>
      <c r="E14" s="1" t="s">
        <v>177</v>
      </c>
      <c r="F14" s="1"/>
      <c r="G14" s="45" t="s">
        <v>178</v>
      </c>
      <c r="H14" s="1"/>
      <c r="I14" s="1"/>
    </row>
    <row r="15" spans="1:21" x14ac:dyDescent="0.45">
      <c r="B15" s="1" t="s">
        <v>151</v>
      </c>
      <c r="C15" s="1" t="s">
        <v>12</v>
      </c>
      <c r="D15" s="1" t="s">
        <v>32</v>
      </c>
      <c r="E15" s="1" t="s">
        <v>21</v>
      </c>
      <c r="F15" s="1" t="s">
        <v>13</v>
      </c>
      <c r="J15" s="45" t="s">
        <v>81</v>
      </c>
    </row>
    <row r="16" spans="1:21" x14ac:dyDescent="0.4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45">
      <c r="B17" s="1" t="s">
        <v>109</v>
      </c>
      <c r="C17" s="1"/>
      <c r="D17" s="1"/>
      <c r="E17" s="1"/>
      <c r="F17" s="1"/>
      <c r="G17" s="1"/>
      <c r="H17" s="1"/>
      <c r="I17" s="1"/>
    </row>
    <row r="18" spans="1:30" x14ac:dyDescent="0.45">
      <c r="B18" s="1" t="s">
        <v>39</v>
      </c>
      <c r="C18" s="1" t="s">
        <v>61</v>
      </c>
      <c r="D18" s="1" t="s">
        <v>155</v>
      </c>
      <c r="E18" s="1" t="s">
        <v>157</v>
      </c>
      <c r="F18" s="1" t="s">
        <v>156</v>
      </c>
      <c r="G18" s="1"/>
      <c r="H18" s="1"/>
      <c r="I18" s="1"/>
      <c r="J18" s="1"/>
      <c r="K18" s="1"/>
      <c r="L18" s="1"/>
      <c r="M18" s="1"/>
      <c r="N18" s="1"/>
      <c r="O18" s="1"/>
      <c r="P18" s="1"/>
      <c r="Q18" s="1"/>
    </row>
    <row r="19" spans="1:30" x14ac:dyDescent="0.4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45">
      <c r="B20" s="27" t="s">
        <v>109</v>
      </c>
    </row>
    <row r="21" spans="1:30" ht="132.6" customHeight="1" x14ac:dyDescent="0.45">
      <c r="B21" s="41" t="s">
        <v>52</v>
      </c>
      <c r="C21" s="42" t="s">
        <v>142</v>
      </c>
      <c r="D21" s="42" t="s">
        <v>143</v>
      </c>
      <c r="E21" s="42" t="s">
        <v>144</v>
      </c>
      <c r="F21" s="43" t="s">
        <v>53</v>
      </c>
      <c r="G21" s="116" t="s">
        <v>141</v>
      </c>
      <c r="H21" s="116"/>
      <c r="I21" s="116"/>
      <c r="J21" s="116"/>
      <c r="K21" s="116"/>
      <c r="L21" s="116"/>
      <c r="M21" s="116"/>
      <c r="N21" s="116"/>
      <c r="O21" s="116"/>
      <c r="P21" s="41"/>
      <c r="Q21" s="41"/>
      <c r="R21" s="41"/>
      <c r="S21" s="41"/>
    </row>
    <row r="22" spans="1:30" x14ac:dyDescent="0.45">
      <c r="B22" s="41"/>
      <c r="C22" s="41"/>
      <c r="D22" s="41"/>
      <c r="E22" s="41"/>
      <c r="F22" s="41"/>
      <c r="G22" s="41"/>
      <c r="H22" s="41"/>
      <c r="I22" s="41"/>
      <c r="J22" s="41"/>
      <c r="K22" s="41"/>
      <c r="L22" s="41"/>
      <c r="M22" s="41"/>
      <c r="N22" s="41"/>
      <c r="O22" s="41"/>
      <c r="P22" s="41"/>
      <c r="Q22" s="41"/>
      <c r="R22" s="41"/>
      <c r="S22" s="41"/>
    </row>
    <row r="23" spans="1:30" x14ac:dyDescent="0.45">
      <c r="B23" s="41"/>
      <c r="C23" s="41"/>
      <c r="D23" s="41"/>
      <c r="E23" s="41"/>
      <c r="F23" s="41"/>
      <c r="G23" s="41" t="s">
        <v>15</v>
      </c>
      <c r="H23" s="41" t="s">
        <v>27</v>
      </c>
      <c r="J23" s="44" t="s">
        <v>184</v>
      </c>
      <c r="K23" s="41"/>
      <c r="L23" s="41"/>
      <c r="M23" s="41"/>
      <c r="Q23" s="41"/>
      <c r="R23" s="41"/>
      <c r="S23" s="41"/>
    </row>
    <row r="24" spans="1:30" x14ac:dyDescent="0.4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45">
      <c r="B25" s="41"/>
      <c r="C25" s="41"/>
      <c r="D25" s="41"/>
      <c r="E25" s="41"/>
      <c r="F25" s="41"/>
      <c r="G25" s="41" t="s">
        <v>11</v>
      </c>
      <c r="H25" s="41" t="s">
        <v>27</v>
      </c>
      <c r="J25" s="41" t="s">
        <v>186</v>
      </c>
      <c r="K25" s="41"/>
      <c r="L25" s="41"/>
      <c r="M25" s="41"/>
      <c r="R25" s="41"/>
      <c r="S25" s="41"/>
      <c r="AC25" s="41"/>
      <c r="AD25" s="41"/>
    </row>
    <row r="26" spans="1:30" x14ac:dyDescent="0.45">
      <c r="B26" s="41"/>
      <c r="C26" s="41"/>
      <c r="D26" s="41"/>
      <c r="E26" s="41"/>
      <c r="F26" s="41"/>
      <c r="G26" s="41" t="s">
        <v>134</v>
      </c>
      <c r="H26" s="41" t="s">
        <v>27</v>
      </c>
      <c r="J26" s="41" t="s">
        <v>187</v>
      </c>
      <c r="K26" s="41"/>
      <c r="L26" s="41"/>
      <c r="M26" s="41"/>
      <c r="N26" s="41"/>
      <c r="O26" s="41"/>
    </row>
    <row r="27" spans="1:30" x14ac:dyDescent="0.45">
      <c r="B27" s="41"/>
      <c r="C27" s="41"/>
      <c r="D27" s="41"/>
      <c r="E27" s="41"/>
      <c r="F27" s="41"/>
      <c r="G27" s="41" t="s">
        <v>133</v>
      </c>
      <c r="H27" s="41" t="s">
        <v>27</v>
      </c>
      <c r="J27" s="41" t="s">
        <v>188</v>
      </c>
      <c r="K27" s="41"/>
      <c r="L27" s="41"/>
      <c r="M27" s="41"/>
      <c r="N27" s="41"/>
    </row>
    <row r="28" spans="1:30" x14ac:dyDescent="0.45">
      <c r="B28" s="41"/>
      <c r="C28" s="41"/>
      <c r="D28" s="41"/>
      <c r="E28" s="41"/>
      <c r="F28" s="41"/>
      <c r="G28" s="41" t="s">
        <v>132</v>
      </c>
      <c r="H28" s="41" t="s">
        <v>27</v>
      </c>
      <c r="J28" s="44" t="s">
        <v>189</v>
      </c>
      <c r="K28" s="41"/>
      <c r="L28" s="41"/>
      <c r="M28" s="41"/>
      <c r="N28" s="41"/>
    </row>
    <row r="29" spans="1:30" x14ac:dyDescent="0.4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4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4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4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4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45">
      <c r="B34" s="41"/>
      <c r="C34" s="41"/>
      <c r="D34" s="41"/>
      <c r="E34" s="41"/>
      <c r="F34" s="41"/>
      <c r="G34" s="41" t="s">
        <v>124</v>
      </c>
      <c r="H34" s="41" t="s">
        <v>30</v>
      </c>
      <c r="I34" s="41" t="s">
        <v>31</v>
      </c>
      <c r="J34" s="41" t="s">
        <v>98</v>
      </c>
      <c r="K34" s="41" t="s">
        <v>116</v>
      </c>
      <c r="L34" s="41" t="s">
        <v>117</v>
      </c>
      <c r="M34" s="41"/>
      <c r="O34" s="41"/>
      <c r="P34" s="41"/>
    </row>
    <row r="35" spans="1:21" ht="15" customHeight="1" x14ac:dyDescent="0.4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45">
      <c r="G36" s="41" t="s">
        <v>62</v>
      </c>
      <c r="H36" s="41" t="s">
        <v>63</v>
      </c>
      <c r="I36" s="41" t="s">
        <v>51</v>
      </c>
      <c r="J36" s="41"/>
      <c r="K36" s="41"/>
      <c r="L36" s="41"/>
      <c r="M36" s="44" t="s">
        <v>64</v>
      </c>
      <c r="N36" s="41"/>
      <c r="O36" s="41"/>
      <c r="Q36" s="41"/>
      <c r="R36" s="41"/>
      <c r="S36" s="41"/>
    </row>
    <row r="37" spans="1:21" x14ac:dyDescent="0.45">
      <c r="G37" s="41" t="s">
        <v>60</v>
      </c>
      <c r="H37" s="41" t="s">
        <v>63</v>
      </c>
      <c r="I37" s="41" t="s">
        <v>51</v>
      </c>
      <c r="J37" s="41"/>
      <c r="K37" s="41"/>
      <c r="L37" s="41"/>
      <c r="M37" s="44" t="s">
        <v>64</v>
      </c>
      <c r="N37" s="41"/>
      <c r="O37" s="41"/>
      <c r="P37" s="41"/>
      <c r="Q37" s="41"/>
      <c r="R37" s="41"/>
    </row>
    <row r="38" spans="1:21" x14ac:dyDescent="0.45">
      <c r="G38" s="41" t="s">
        <v>182</v>
      </c>
      <c r="H38" s="41" t="s">
        <v>27</v>
      </c>
      <c r="I38" s="44" t="s">
        <v>183</v>
      </c>
      <c r="P38" s="41"/>
      <c r="S38" s="41"/>
    </row>
    <row r="41" spans="1:21" x14ac:dyDescent="0.45">
      <c r="A41" s="27"/>
    </row>
    <row r="42" spans="1:21" ht="93.75" customHeight="1" x14ac:dyDescent="0.45">
      <c r="B42" s="50" t="s">
        <v>246</v>
      </c>
      <c r="C42" s="50" t="s">
        <v>12</v>
      </c>
      <c r="D42" s="117" t="s">
        <v>247</v>
      </c>
      <c r="E42" s="117"/>
      <c r="F42" s="117"/>
      <c r="G42" s="117"/>
      <c r="H42" s="117"/>
      <c r="I42" s="117"/>
      <c r="J42" s="117"/>
      <c r="K42" s="117"/>
      <c r="L42" s="117"/>
      <c r="M42" s="117"/>
      <c r="N42" s="117"/>
      <c r="O42" s="117"/>
    </row>
    <row r="43" spans="1:21" x14ac:dyDescent="0.45">
      <c r="B43" s="50"/>
      <c r="C43" s="50"/>
      <c r="D43" s="50"/>
      <c r="E43" s="50"/>
      <c r="F43" s="50"/>
      <c r="G43" s="50"/>
      <c r="H43" s="50"/>
      <c r="I43" s="50"/>
      <c r="J43" s="50"/>
      <c r="K43" s="50"/>
      <c r="L43" s="50"/>
      <c r="M43" s="50"/>
      <c r="N43" s="50"/>
      <c r="O43" s="50"/>
    </row>
    <row r="44" spans="1:21" x14ac:dyDescent="0.45">
      <c r="B44" s="50"/>
      <c r="C44" s="50"/>
      <c r="D44" s="50" t="s">
        <v>29</v>
      </c>
      <c r="E44" s="50" t="s">
        <v>30</v>
      </c>
      <c r="F44" s="50" t="s">
        <v>31</v>
      </c>
      <c r="G44" s="50" t="s">
        <v>98</v>
      </c>
      <c r="H44" s="50" t="s">
        <v>116</v>
      </c>
      <c r="I44" s="50" t="s">
        <v>117</v>
      </c>
      <c r="J44" s="50"/>
      <c r="K44" s="50"/>
      <c r="L44" s="50"/>
      <c r="M44" s="50"/>
      <c r="N44" s="50"/>
      <c r="O44" s="50"/>
    </row>
    <row r="45" spans="1:21" ht="15" customHeight="1" x14ac:dyDescent="0.4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4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4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45">
      <c r="B48" s="50"/>
      <c r="C48" s="50"/>
      <c r="D48" s="50"/>
      <c r="E48" s="50"/>
      <c r="F48" s="50"/>
      <c r="G48" s="50"/>
      <c r="H48" s="50"/>
      <c r="I48" s="50"/>
      <c r="J48" s="50"/>
      <c r="K48" s="50"/>
      <c r="L48" s="50"/>
      <c r="M48" s="50"/>
      <c r="N48" s="50"/>
      <c r="O48" s="50"/>
    </row>
    <row r="49" spans="2:15" x14ac:dyDescent="0.45">
      <c r="B49" s="50"/>
      <c r="C49" s="50"/>
      <c r="D49" s="50"/>
      <c r="E49" s="50"/>
      <c r="F49" s="50"/>
      <c r="G49" s="50"/>
      <c r="H49" s="50"/>
      <c r="I49" s="50"/>
      <c r="J49" s="50"/>
      <c r="K49" s="50"/>
      <c r="L49" s="50"/>
      <c r="M49" s="50"/>
      <c r="N49" s="50"/>
      <c r="O49" s="50"/>
    </row>
    <row r="50" spans="2:15" x14ac:dyDescent="0.45">
      <c r="B50" s="50"/>
      <c r="C50" s="50"/>
      <c r="D50" s="50"/>
      <c r="E50" s="50"/>
      <c r="F50" s="50"/>
      <c r="G50" s="50"/>
      <c r="H50" s="50"/>
      <c r="I50" s="50"/>
      <c r="J50" s="50"/>
      <c r="K50" s="50"/>
      <c r="L50" s="50"/>
      <c r="M50" s="50"/>
      <c r="N50" s="50"/>
      <c r="O50" s="50"/>
    </row>
    <row r="51" spans="2:15" x14ac:dyDescent="0.45">
      <c r="B51" s="50"/>
      <c r="C51" s="50"/>
      <c r="D51" s="50"/>
      <c r="E51" s="50"/>
      <c r="F51" s="50"/>
      <c r="G51" s="50"/>
      <c r="H51" s="50"/>
      <c r="I51" s="50"/>
      <c r="J51" s="50"/>
      <c r="K51" s="50"/>
      <c r="L51" s="50"/>
      <c r="M51" s="50"/>
      <c r="N51" s="50"/>
      <c r="O51" s="50"/>
    </row>
    <row r="52" spans="2:15" x14ac:dyDescent="0.45">
      <c r="B52" s="50"/>
      <c r="C52" s="50"/>
      <c r="D52" s="50"/>
      <c r="E52" s="50"/>
      <c r="F52" s="50"/>
      <c r="G52" s="50"/>
      <c r="H52" s="50"/>
      <c r="I52" s="50"/>
      <c r="J52" s="50"/>
      <c r="K52" s="50"/>
      <c r="L52" s="50"/>
      <c r="M52" s="50"/>
      <c r="N52" s="50"/>
      <c r="O52" s="50"/>
    </row>
    <row r="54" spans="2:15" x14ac:dyDescent="0.45">
      <c r="B54" s="50"/>
      <c r="C54" s="50"/>
      <c r="D54" s="50"/>
      <c r="E54" s="50"/>
      <c r="F54" s="50"/>
      <c r="G54" s="50"/>
      <c r="H54" s="50"/>
      <c r="I54" s="50"/>
      <c r="J54" s="50"/>
      <c r="K54" s="50"/>
      <c r="L54" s="50"/>
      <c r="M54" s="50"/>
      <c r="N54" s="50"/>
      <c r="O54" s="50"/>
    </row>
    <row r="55" spans="2:15" x14ac:dyDescent="0.4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132"/>
  <sheetViews>
    <sheetView zoomScale="75" zoomScaleNormal="85" workbookViewId="0">
      <selection activeCell="O1" sqref="O1:O132"/>
    </sheetView>
  </sheetViews>
  <sheetFormatPr defaultRowHeight="14.25" x14ac:dyDescent="0.45"/>
  <cols>
    <col min="1" max="1" width="11.59765625" customWidth="1"/>
    <col min="2" max="7" width="5.86328125" customWidth="1"/>
    <col min="8" max="8" width="10.86328125" bestFit="1" customWidth="1"/>
    <col min="9" max="9" width="11.1328125" bestFit="1" customWidth="1"/>
    <col min="10" max="10" width="9" customWidth="1"/>
    <col min="11" max="13" width="15.1328125" customWidth="1"/>
    <col min="14" max="14" width="17.86328125" customWidth="1"/>
    <col min="15" max="15" width="16.3984375" style="48" customWidth="1"/>
    <col min="16" max="16" width="36.1328125" customWidth="1"/>
    <col min="30" max="30" width="33.59765625" bestFit="1" customWidth="1"/>
    <col min="31" max="31" width="25.1328125" bestFit="1" customWidth="1"/>
  </cols>
  <sheetData>
    <row r="1" spans="1:17" x14ac:dyDescent="0.4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45">
      <c r="A2" t="s">
        <v>49</v>
      </c>
      <c r="B2" t="s">
        <v>792</v>
      </c>
      <c r="N2">
        <v>1</v>
      </c>
      <c r="O2" s="48" t="s">
        <v>290</v>
      </c>
      <c r="P2" t="s">
        <v>731</v>
      </c>
      <c r="Q2" t="s">
        <v>792</v>
      </c>
    </row>
    <row r="3" spans="1:17" x14ac:dyDescent="0.45">
      <c r="A3" t="s">
        <v>23</v>
      </c>
      <c r="B3">
        <v>274</v>
      </c>
      <c r="C3">
        <v>125</v>
      </c>
      <c r="D3">
        <v>2.7</v>
      </c>
      <c r="E3">
        <v>274</v>
      </c>
      <c r="F3">
        <v>125</v>
      </c>
      <c r="G3">
        <v>0</v>
      </c>
      <c r="H3">
        <v>0</v>
      </c>
      <c r="I3">
        <v>0</v>
      </c>
      <c r="K3">
        <v>3000</v>
      </c>
      <c r="N3">
        <v>0</v>
      </c>
      <c r="O3" s="48">
        <v>0</v>
      </c>
      <c r="P3" t="s">
        <v>659</v>
      </c>
      <c r="Q3" t="s">
        <v>801</v>
      </c>
    </row>
    <row r="4" spans="1:17" x14ac:dyDescent="0.45">
      <c r="A4" t="s">
        <v>19</v>
      </c>
      <c r="B4">
        <v>274</v>
      </c>
      <c r="C4">
        <v>125</v>
      </c>
      <c r="D4">
        <v>0</v>
      </c>
      <c r="E4">
        <v>275</v>
      </c>
      <c r="F4">
        <v>100</v>
      </c>
      <c r="G4">
        <v>0</v>
      </c>
      <c r="H4">
        <v>3.75</v>
      </c>
      <c r="I4">
        <v>3.42</v>
      </c>
      <c r="J4">
        <v>0.25534930277747642</v>
      </c>
      <c r="K4">
        <v>500</v>
      </c>
      <c r="L4">
        <v>0</v>
      </c>
      <c r="N4">
        <v>2</v>
      </c>
      <c r="O4" s="48" t="s">
        <v>689</v>
      </c>
      <c r="P4" t="s">
        <v>688</v>
      </c>
      <c r="Q4" t="s">
        <v>812</v>
      </c>
    </row>
    <row r="5" spans="1:17" x14ac:dyDescent="0.45">
      <c r="A5" t="s">
        <v>19</v>
      </c>
      <c r="B5">
        <v>275</v>
      </c>
      <c r="C5">
        <v>100</v>
      </c>
      <c r="D5">
        <v>0</v>
      </c>
      <c r="E5">
        <v>175</v>
      </c>
      <c r="F5">
        <v>100</v>
      </c>
      <c r="G5">
        <v>0</v>
      </c>
      <c r="H5">
        <v>3.75</v>
      </c>
      <c r="I5">
        <v>3.42</v>
      </c>
      <c r="J5">
        <v>1.0205810725767799</v>
      </c>
      <c r="K5">
        <v>500</v>
      </c>
      <c r="L5">
        <v>0</v>
      </c>
      <c r="N5">
        <v>3</v>
      </c>
      <c r="O5" s="48" t="s">
        <v>691</v>
      </c>
      <c r="P5" t="s">
        <v>690</v>
      </c>
      <c r="Q5" t="s">
        <v>813</v>
      </c>
    </row>
    <row r="6" spans="1:17" x14ac:dyDescent="0.45">
      <c r="A6" t="s">
        <v>19</v>
      </c>
      <c r="B6">
        <v>175</v>
      </c>
      <c r="C6">
        <v>100</v>
      </c>
      <c r="D6">
        <v>0</v>
      </c>
      <c r="E6">
        <v>175</v>
      </c>
      <c r="F6">
        <v>96</v>
      </c>
      <c r="G6">
        <v>0</v>
      </c>
      <c r="H6">
        <v>3.75</v>
      </c>
      <c r="I6">
        <v>3.42</v>
      </c>
      <c r="J6">
        <v>4.0823242903071197E-2</v>
      </c>
      <c r="K6">
        <v>500</v>
      </c>
      <c r="L6">
        <v>0</v>
      </c>
      <c r="N6">
        <v>4</v>
      </c>
      <c r="O6" s="48" t="s">
        <v>663</v>
      </c>
      <c r="P6" t="s">
        <v>692</v>
      </c>
      <c r="Q6" t="s">
        <v>814</v>
      </c>
    </row>
    <row r="7" spans="1:17" x14ac:dyDescent="0.45">
      <c r="A7" t="s">
        <v>19</v>
      </c>
      <c r="B7">
        <v>175</v>
      </c>
      <c r="C7">
        <v>96</v>
      </c>
      <c r="D7">
        <v>0</v>
      </c>
      <c r="E7">
        <v>275</v>
      </c>
      <c r="F7">
        <v>96</v>
      </c>
      <c r="G7">
        <v>0</v>
      </c>
      <c r="H7">
        <v>3.75</v>
      </c>
      <c r="I7">
        <v>3.42</v>
      </c>
      <c r="J7">
        <v>1.0205810725767799</v>
      </c>
      <c r="K7">
        <v>500</v>
      </c>
      <c r="L7">
        <v>0</v>
      </c>
      <c r="N7">
        <v>5</v>
      </c>
      <c r="O7" s="48" t="s">
        <v>695</v>
      </c>
      <c r="P7" t="s">
        <v>716</v>
      </c>
      <c r="Q7" t="s">
        <v>815</v>
      </c>
    </row>
    <row r="8" spans="1:17" x14ac:dyDescent="0.45">
      <c r="A8" t="s">
        <v>19</v>
      </c>
      <c r="B8">
        <v>275</v>
      </c>
      <c r="C8">
        <v>96</v>
      </c>
      <c r="D8">
        <v>0</v>
      </c>
      <c r="E8">
        <v>275</v>
      </c>
      <c r="F8">
        <v>92</v>
      </c>
      <c r="G8">
        <v>0</v>
      </c>
      <c r="H8">
        <v>3.75</v>
      </c>
      <c r="I8">
        <v>3.42</v>
      </c>
      <c r="J8">
        <v>4.0823242903071197E-2</v>
      </c>
      <c r="K8">
        <v>500</v>
      </c>
      <c r="L8">
        <v>0</v>
      </c>
      <c r="N8">
        <v>6</v>
      </c>
      <c r="O8" s="48" t="s">
        <v>664</v>
      </c>
      <c r="P8" t="s">
        <v>717</v>
      </c>
      <c r="Q8" t="s">
        <v>816</v>
      </c>
    </row>
    <row r="9" spans="1:17" x14ac:dyDescent="0.45">
      <c r="A9" t="s">
        <v>19</v>
      </c>
      <c r="B9">
        <v>275</v>
      </c>
      <c r="C9">
        <v>92</v>
      </c>
      <c r="D9">
        <v>0</v>
      </c>
      <c r="E9">
        <v>175</v>
      </c>
      <c r="F9">
        <v>92</v>
      </c>
      <c r="G9">
        <v>0</v>
      </c>
      <c r="H9">
        <v>3.75</v>
      </c>
      <c r="I9">
        <v>3.42</v>
      </c>
      <c r="J9">
        <v>1.0205810725767799</v>
      </c>
      <c r="K9">
        <v>500</v>
      </c>
      <c r="L9">
        <v>0</v>
      </c>
      <c r="N9">
        <v>7</v>
      </c>
      <c r="O9" s="48" t="s">
        <v>718</v>
      </c>
      <c r="P9" t="s">
        <v>719</v>
      </c>
      <c r="Q9" t="s">
        <v>813</v>
      </c>
    </row>
    <row r="10" spans="1:17" x14ac:dyDescent="0.45">
      <c r="A10" t="s">
        <v>19</v>
      </c>
      <c r="B10">
        <v>175</v>
      </c>
      <c r="C10">
        <v>92</v>
      </c>
      <c r="D10">
        <v>0</v>
      </c>
      <c r="E10">
        <v>175</v>
      </c>
      <c r="F10">
        <v>88</v>
      </c>
      <c r="G10">
        <v>0</v>
      </c>
      <c r="H10">
        <v>3.75</v>
      </c>
      <c r="I10">
        <v>3.42</v>
      </c>
      <c r="J10">
        <v>4.0823242903071197E-2</v>
      </c>
      <c r="K10">
        <v>500</v>
      </c>
      <c r="L10">
        <v>0</v>
      </c>
      <c r="N10">
        <v>7</v>
      </c>
      <c r="O10" s="48" t="s">
        <v>720</v>
      </c>
      <c r="P10" t="s">
        <v>721</v>
      </c>
      <c r="Q10" t="s">
        <v>817</v>
      </c>
    </row>
    <row r="11" spans="1:17" x14ac:dyDescent="0.45">
      <c r="A11" t="s">
        <v>19</v>
      </c>
      <c r="B11">
        <v>175</v>
      </c>
      <c r="C11">
        <v>88</v>
      </c>
      <c r="D11">
        <v>0</v>
      </c>
      <c r="E11">
        <v>275</v>
      </c>
      <c r="F11">
        <v>88</v>
      </c>
      <c r="G11">
        <v>0</v>
      </c>
      <c r="H11">
        <v>3.75</v>
      </c>
      <c r="I11">
        <v>3.42</v>
      </c>
      <c r="J11">
        <v>1.0205810725767799</v>
      </c>
      <c r="K11">
        <v>500</v>
      </c>
      <c r="L11">
        <v>0</v>
      </c>
      <c r="N11">
        <v>7</v>
      </c>
      <c r="O11" s="48" t="s">
        <v>722</v>
      </c>
      <c r="P11" t="s">
        <v>723</v>
      </c>
      <c r="Q11" t="s">
        <v>815</v>
      </c>
    </row>
    <row r="12" spans="1:17" x14ac:dyDescent="0.45">
      <c r="A12" t="s">
        <v>19</v>
      </c>
      <c r="B12">
        <v>275</v>
      </c>
      <c r="C12">
        <v>88</v>
      </c>
      <c r="D12">
        <v>0</v>
      </c>
      <c r="E12">
        <v>275</v>
      </c>
      <c r="F12">
        <v>84</v>
      </c>
      <c r="G12">
        <v>0</v>
      </c>
      <c r="H12">
        <v>3.75</v>
      </c>
      <c r="I12">
        <v>3.42</v>
      </c>
      <c r="J12">
        <v>4.0823242903071197E-2</v>
      </c>
      <c r="K12">
        <v>500</v>
      </c>
      <c r="L12">
        <v>0</v>
      </c>
      <c r="N12">
        <v>7</v>
      </c>
      <c r="O12" s="48" t="s">
        <v>724</v>
      </c>
      <c r="P12" t="s">
        <v>725</v>
      </c>
      <c r="Q12" t="s">
        <v>818</v>
      </c>
    </row>
    <row r="13" spans="1:17" x14ac:dyDescent="0.45">
      <c r="A13" t="s">
        <v>19</v>
      </c>
      <c r="B13">
        <v>275</v>
      </c>
      <c r="C13">
        <v>84</v>
      </c>
      <c r="D13">
        <v>0</v>
      </c>
      <c r="E13">
        <v>175</v>
      </c>
      <c r="F13">
        <v>84</v>
      </c>
      <c r="G13">
        <v>0</v>
      </c>
      <c r="H13">
        <v>3.75</v>
      </c>
      <c r="I13">
        <v>3.42</v>
      </c>
      <c r="J13">
        <v>1.0205810725767799</v>
      </c>
      <c r="K13">
        <v>500</v>
      </c>
      <c r="L13">
        <v>0</v>
      </c>
      <c r="N13">
        <v>7</v>
      </c>
      <c r="O13" s="48" t="s">
        <v>726</v>
      </c>
      <c r="P13" t="s">
        <v>719</v>
      </c>
      <c r="Q13" t="s">
        <v>813</v>
      </c>
    </row>
    <row r="14" spans="1:17" x14ac:dyDescent="0.45">
      <c r="A14" t="s">
        <v>19</v>
      </c>
      <c r="B14">
        <v>175</v>
      </c>
      <c r="C14">
        <v>84</v>
      </c>
      <c r="D14">
        <v>0</v>
      </c>
      <c r="E14">
        <v>175</v>
      </c>
      <c r="F14">
        <v>80</v>
      </c>
      <c r="G14">
        <v>0</v>
      </c>
      <c r="H14">
        <v>3.75</v>
      </c>
      <c r="I14">
        <v>3.42</v>
      </c>
      <c r="J14">
        <v>4.0823242903071197E-2</v>
      </c>
      <c r="K14">
        <v>500</v>
      </c>
      <c r="L14">
        <v>0</v>
      </c>
      <c r="N14">
        <v>7</v>
      </c>
      <c r="O14" s="48" t="s">
        <v>727</v>
      </c>
      <c r="P14" t="s">
        <v>721</v>
      </c>
      <c r="Q14" t="s">
        <v>819</v>
      </c>
    </row>
    <row r="15" spans="1:17" x14ac:dyDescent="0.45">
      <c r="A15" t="s">
        <v>19</v>
      </c>
      <c r="B15">
        <v>175</v>
      </c>
      <c r="C15">
        <v>80</v>
      </c>
      <c r="D15">
        <v>0</v>
      </c>
      <c r="E15">
        <v>275</v>
      </c>
      <c r="F15">
        <v>80</v>
      </c>
      <c r="G15">
        <v>0</v>
      </c>
      <c r="H15">
        <v>3.75</v>
      </c>
      <c r="I15">
        <v>3.42</v>
      </c>
      <c r="J15">
        <v>1.0205810725767799</v>
      </c>
      <c r="K15">
        <v>500</v>
      </c>
      <c r="L15">
        <v>0</v>
      </c>
      <c r="N15">
        <v>7</v>
      </c>
      <c r="O15" s="48" t="s">
        <v>728</v>
      </c>
      <c r="P15" t="s">
        <v>723</v>
      </c>
      <c r="Q15" t="s">
        <v>815</v>
      </c>
    </row>
    <row r="16" spans="1:17" x14ac:dyDescent="0.45">
      <c r="A16" t="s">
        <v>19</v>
      </c>
      <c r="B16">
        <v>275</v>
      </c>
      <c r="C16">
        <v>80</v>
      </c>
      <c r="D16">
        <v>0</v>
      </c>
      <c r="E16">
        <v>275</v>
      </c>
      <c r="F16">
        <v>76</v>
      </c>
      <c r="G16">
        <v>0</v>
      </c>
      <c r="H16">
        <v>3.75</v>
      </c>
      <c r="I16">
        <v>3.42</v>
      </c>
      <c r="J16">
        <v>4.0823242903071197E-2</v>
      </c>
      <c r="K16">
        <v>500</v>
      </c>
      <c r="L16">
        <v>0</v>
      </c>
      <c r="N16">
        <v>7</v>
      </c>
      <c r="O16" s="48" t="s">
        <v>729</v>
      </c>
      <c r="P16" t="s">
        <v>725</v>
      </c>
      <c r="Q16" t="s">
        <v>820</v>
      </c>
    </row>
    <row r="17" spans="1:17" x14ac:dyDescent="0.45">
      <c r="A17" t="s">
        <v>19</v>
      </c>
      <c r="B17">
        <v>275</v>
      </c>
      <c r="C17">
        <v>76</v>
      </c>
      <c r="D17">
        <v>0</v>
      </c>
      <c r="E17">
        <v>175</v>
      </c>
      <c r="F17">
        <v>76</v>
      </c>
      <c r="G17">
        <v>0</v>
      </c>
      <c r="H17">
        <v>3.75</v>
      </c>
      <c r="I17">
        <v>3.42</v>
      </c>
      <c r="J17">
        <v>1.0205810725767799</v>
      </c>
      <c r="K17">
        <v>500</v>
      </c>
      <c r="L17">
        <v>0</v>
      </c>
      <c r="N17">
        <v>7</v>
      </c>
      <c r="O17" s="48" t="s">
        <v>796</v>
      </c>
      <c r="P17" t="s">
        <v>719</v>
      </c>
      <c r="Q17" t="s">
        <v>813</v>
      </c>
    </row>
    <row r="18" spans="1:17" x14ac:dyDescent="0.45">
      <c r="A18" t="s">
        <v>19</v>
      </c>
      <c r="B18">
        <v>175</v>
      </c>
      <c r="C18">
        <v>76</v>
      </c>
      <c r="D18">
        <v>0</v>
      </c>
      <c r="E18">
        <v>175</v>
      </c>
      <c r="F18">
        <v>72</v>
      </c>
      <c r="G18">
        <v>0</v>
      </c>
      <c r="H18">
        <v>3.75</v>
      </c>
      <c r="I18">
        <v>3.42</v>
      </c>
      <c r="J18">
        <v>4.0823242903071197E-2</v>
      </c>
      <c r="K18">
        <v>500</v>
      </c>
      <c r="L18">
        <v>0</v>
      </c>
      <c r="N18">
        <v>7</v>
      </c>
      <c r="O18" s="48" t="s">
        <v>797</v>
      </c>
      <c r="P18" t="s">
        <v>721</v>
      </c>
      <c r="Q18" t="s">
        <v>821</v>
      </c>
    </row>
    <row r="19" spans="1:17" x14ac:dyDescent="0.45">
      <c r="A19" t="s">
        <v>19</v>
      </c>
      <c r="B19">
        <v>175</v>
      </c>
      <c r="C19">
        <v>72</v>
      </c>
      <c r="D19">
        <v>0</v>
      </c>
      <c r="E19">
        <v>275</v>
      </c>
      <c r="F19">
        <v>72</v>
      </c>
      <c r="G19">
        <v>0</v>
      </c>
      <c r="H19">
        <v>3.75</v>
      </c>
      <c r="I19">
        <v>3.42</v>
      </c>
      <c r="J19">
        <v>1.0205810725767799</v>
      </c>
      <c r="K19">
        <v>500</v>
      </c>
      <c r="L19">
        <v>0</v>
      </c>
      <c r="N19">
        <v>7</v>
      </c>
      <c r="O19" s="48" t="s">
        <v>798</v>
      </c>
      <c r="P19" t="s">
        <v>723</v>
      </c>
      <c r="Q19" t="s">
        <v>815</v>
      </c>
    </row>
    <row r="20" spans="1:17" x14ac:dyDescent="0.45">
      <c r="A20" t="s">
        <v>19</v>
      </c>
      <c r="B20">
        <v>275</v>
      </c>
      <c r="C20">
        <v>72</v>
      </c>
      <c r="D20">
        <v>0</v>
      </c>
      <c r="E20">
        <v>275</v>
      </c>
      <c r="F20">
        <v>68</v>
      </c>
      <c r="G20">
        <v>0</v>
      </c>
      <c r="H20">
        <v>3.75</v>
      </c>
      <c r="I20">
        <v>3.42</v>
      </c>
      <c r="J20">
        <v>4.0823242903071197E-2</v>
      </c>
      <c r="K20">
        <v>500</v>
      </c>
      <c r="L20">
        <v>0</v>
      </c>
      <c r="N20">
        <v>7</v>
      </c>
      <c r="O20" s="48" t="s">
        <v>799</v>
      </c>
      <c r="P20" t="s">
        <v>725</v>
      </c>
      <c r="Q20" t="s">
        <v>822</v>
      </c>
    </row>
    <row r="21" spans="1:17" x14ac:dyDescent="0.45">
      <c r="A21" t="s">
        <v>23</v>
      </c>
      <c r="B21">
        <v>275</v>
      </c>
      <c r="C21">
        <v>68</v>
      </c>
      <c r="D21">
        <v>0</v>
      </c>
      <c r="E21">
        <v>275</v>
      </c>
      <c r="F21">
        <v>68</v>
      </c>
      <c r="G21">
        <v>2.7</v>
      </c>
      <c r="H21">
        <v>0</v>
      </c>
      <c r="I21">
        <v>0</v>
      </c>
      <c r="J21">
        <v>0</v>
      </c>
      <c r="K21">
        <v>3000</v>
      </c>
      <c r="L21">
        <v>0</v>
      </c>
      <c r="N21">
        <v>8</v>
      </c>
      <c r="O21" s="48" t="s">
        <v>860</v>
      </c>
      <c r="P21" t="s">
        <v>732</v>
      </c>
      <c r="Q21" t="s">
        <v>809</v>
      </c>
    </row>
    <row r="22" spans="1:17" x14ac:dyDescent="0.45">
      <c r="A22" t="s">
        <v>19</v>
      </c>
      <c r="B22">
        <v>275</v>
      </c>
      <c r="C22">
        <v>68</v>
      </c>
      <c r="D22">
        <v>2.7</v>
      </c>
      <c r="E22">
        <v>275</v>
      </c>
      <c r="F22">
        <v>72</v>
      </c>
      <c r="G22">
        <v>2.7</v>
      </c>
      <c r="H22">
        <v>3.75</v>
      </c>
      <c r="I22">
        <v>3.42</v>
      </c>
      <c r="J22">
        <v>4.0823242903071197E-2</v>
      </c>
      <c r="K22">
        <v>500</v>
      </c>
      <c r="L22">
        <v>0</v>
      </c>
      <c r="N22">
        <v>9</v>
      </c>
      <c r="O22" s="48" t="s">
        <v>730</v>
      </c>
      <c r="P22" t="s">
        <v>734</v>
      </c>
      <c r="Q22" t="s">
        <v>823</v>
      </c>
    </row>
    <row r="23" spans="1:17" x14ac:dyDescent="0.45">
      <c r="A23" t="s">
        <v>19</v>
      </c>
      <c r="B23">
        <v>275</v>
      </c>
      <c r="C23">
        <v>72</v>
      </c>
      <c r="D23">
        <v>2.7</v>
      </c>
      <c r="E23">
        <v>175</v>
      </c>
      <c r="F23">
        <v>72</v>
      </c>
      <c r="G23">
        <v>2.7</v>
      </c>
      <c r="H23">
        <v>3.75</v>
      </c>
      <c r="I23">
        <v>3.42</v>
      </c>
      <c r="J23">
        <v>1.0205810725767799</v>
      </c>
      <c r="K23">
        <v>500</v>
      </c>
      <c r="L23">
        <v>0</v>
      </c>
      <c r="N23">
        <v>10</v>
      </c>
      <c r="O23" s="48" t="s">
        <v>685</v>
      </c>
      <c r="P23" t="s">
        <v>735</v>
      </c>
      <c r="Q23" t="s">
        <v>813</v>
      </c>
    </row>
    <row r="24" spans="1:17" x14ac:dyDescent="0.45">
      <c r="A24" t="s">
        <v>19</v>
      </c>
      <c r="B24">
        <v>175</v>
      </c>
      <c r="C24">
        <v>72</v>
      </c>
      <c r="D24">
        <v>2.7</v>
      </c>
      <c r="E24">
        <v>175</v>
      </c>
      <c r="F24">
        <v>76</v>
      </c>
      <c r="G24">
        <v>2.7</v>
      </c>
      <c r="H24">
        <v>3.75</v>
      </c>
      <c r="I24">
        <v>3.42</v>
      </c>
      <c r="J24">
        <v>4.0823242903071197E-2</v>
      </c>
      <c r="K24">
        <v>500</v>
      </c>
      <c r="L24">
        <v>0</v>
      </c>
      <c r="N24">
        <v>11</v>
      </c>
      <c r="O24" s="48" t="s">
        <v>733</v>
      </c>
      <c r="P24" t="s">
        <v>736</v>
      </c>
      <c r="Q24" t="s">
        <v>820</v>
      </c>
    </row>
    <row r="25" spans="1:17" x14ac:dyDescent="0.45">
      <c r="A25" t="s">
        <v>19</v>
      </c>
      <c r="B25">
        <v>175</v>
      </c>
      <c r="C25">
        <v>76</v>
      </c>
      <c r="D25">
        <v>2.7</v>
      </c>
      <c r="E25">
        <v>275</v>
      </c>
      <c r="F25">
        <v>76</v>
      </c>
      <c r="G25">
        <v>2.7</v>
      </c>
      <c r="H25">
        <v>3.75</v>
      </c>
      <c r="I25">
        <v>3.42</v>
      </c>
      <c r="J25">
        <v>1.0205810725767799</v>
      </c>
      <c r="K25">
        <v>500</v>
      </c>
      <c r="L25">
        <v>0</v>
      </c>
      <c r="N25">
        <v>12</v>
      </c>
      <c r="O25" s="48" t="s">
        <v>686</v>
      </c>
      <c r="P25" t="s">
        <v>739</v>
      </c>
      <c r="Q25" t="s">
        <v>815</v>
      </c>
    </row>
    <row r="26" spans="1:17" x14ac:dyDescent="0.45">
      <c r="A26" t="s">
        <v>19</v>
      </c>
      <c r="B26">
        <v>275</v>
      </c>
      <c r="C26">
        <v>76</v>
      </c>
      <c r="D26">
        <v>2.7</v>
      </c>
      <c r="E26">
        <v>275</v>
      </c>
      <c r="F26">
        <v>80</v>
      </c>
      <c r="G26">
        <v>2.7</v>
      </c>
      <c r="H26">
        <v>3.75</v>
      </c>
      <c r="I26">
        <v>3.42</v>
      </c>
      <c r="J26">
        <v>4.0823242903071197E-2</v>
      </c>
      <c r="K26">
        <v>500</v>
      </c>
      <c r="L26">
        <v>0</v>
      </c>
      <c r="N26">
        <v>13</v>
      </c>
      <c r="O26" s="48" t="s">
        <v>861</v>
      </c>
      <c r="P26" t="s">
        <v>808</v>
      </c>
      <c r="Q26" t="s">
        <v>819</v>
      </c>
    </row>
    <row r="27" spans="1:17" x14ac:dyDescent="0.45">
      <c r="A27" t="s">
        <v>19</v>
      </c>
      <c r="B27">
        <v>275</v>
      </c>
      <c r="C27">
        <v>80</v>
      </c>
      <c r="D27">
        <v>2.7</v>
      </c>
      <c r="E27">
        <v>175</v>
      </c>
      <c r="F27">
        <v>80</v>
      </c>
      <c r="G27">
        <v>2.7</v>
      </c>
      <c r="H27">
        <v>3.75</v>
      </c>
      <c r="I27">
        <v>3.42</v>
      </c>
      <c r="J27">
        <v>1.0205810725767799</v>
      </c>
      <c r="K27">
        <v>500</v>
      </c>
      <c r="L27">
        <v>0</v>
      </c>
      <c r="N27">
        <v>13</v>
      </c>
      <c r="O27" s="48" t="s">
        <v>862</v>
      </c>
      <c r="P27" t="s">
        <v>737</v>
      </c>
      <c r="Q27" t="s">
        <v>813</v>
      </c>
    </row>
    <row r="28" spans="1:17" x14ac:dyDescent="0.45">
      <c r="A28" t="s">
        <v>19</v>
      </c>
      <c r="B28">
        <v>175</v>
      </c>
      <c r="C28">
        <v>80</v>
      </c>
      <c r="D28">
        <v>2.7</v>
      </c>
      <c r="E28">
        <v>175</v>
      </c>
      <c r="F28">
        <v>84</v>
      </c>
      <c r="G28">
        <v>2.7</v>
      </c>
      <c r="H28">
        <v>3.75</v>
      </c>
      <c r="I28">
        <v>3.42</v>
      </c>
      <c r="J28">
        <v>4.0823242903071197E-2</v>
      </c>
      <c r="K28">
        <v>500</v>
      </c>
      <c r="L28">
        <v>0</v>
      </c>
      <c r="N28">
        <v>13</v>
      </c>
      <c r="O28" s="48" t="s">
        <v>863</v>
      </c>
      <c r="P28" t="s">
        <v>738</v>
      </c>
      <c r="Q28" t="s">
        <v>818</v>
      </c>
    </row>
    <row r="29" spans="1:17" x14ac:dyDescent="0.45">
      <c r="A29" t="s">
        <v>19</v>
      </c>
      <c r="B29">
        <v>175</v>
      </c>
      <c r="C29">
        <v>84</v>
      </c>
      <c r="D29">
        <v>2.7</v>
      </c>
      <c r="E29">
        <v>275</v>
      </c>
      <c r="F29">
        <v>84</v>
      </c>
      <c r="G29">
        <v>2.7</v>
      </c>
      <c r="H29">
        <v>3.75</v>
      </c>
      <c r="I29">
        <v>3.42</v>
      </c>
      <c r="J29">
        <v>1.0205810725767799</v>
      </c>
      <c r="K29">
        <v>500</v>
      </c>
      <c r="L29">
        <v>0</v>
      </c>
      <c r="N29">
        <v>13</v>
      </c>
      <c r="O29" s="48" t="s">
        <v>864</v>
      </c>
      <c r="P29" t="s">
        <v>955</v>
      </c>
      <c r="Q29" t="s">
        <v>815</v>
      </c>
    </row>
    <row r="30" spans="1:17" x14ac:dyDescent="0.45">
      <c r="A30" t="s">
        <v>19</v>
      </c>
      <c r="B30">
        <v>275</v>
      </c>
      <c r="C30">
        <v>84</v>
      </c>
      <c r="D30">
        <v>2.7</v>
      </c>
      <c r="E30">
        <v>275</v>
      </c>
      <c r="F30">
        <v>88</v>
      </c>
      <c r="G30">
        <v>2.7</v>
      </c>
      <c r="H30">
        <v>3.75</v>
      </c>
      <c r="I30">
        <v>3.42</v>
      </c>
      <c r="J30">
        <v>4.0823242903071197E-2</v>
      </c>
      <c r="K30">
        <v>500</v>
      </c>
      <c r="L30">
        <v>0</v>
      </c>
      <c r="N30">
        <v>13</v>
      </c>
      <c r="O30" s="48" t="s">
        <v>865</v>
      </c>
      <c r="P30" t="s">
        <v>808</v>
      </c>
      <c r="Q30" t="s">
        <v>817</v>
      </c>
    </row>
    <row r="31" spans="1:17" x14ac:dyDescent="0.45">
      <c r="A31" t="s">
        <v>19</v>
      </c>
      <c r="B31">
        <v>275</v>
      </c>
      <c r="C31">
        <v>88</v>
      </c>
      <c r="D31">
        <v>2.7</v>
      </c>
      <c r="E31">
        <v>175</v>
      </c>
      <c r="F31">
        <v>88</v>
      </c>
      <c r="G31">
        <v>2.7</v>
      </c>
      <c r="H31">
        <v>3.75</v>
      </c>
      <c r="I31">
        <v>3.42</v>
      </c>
      <c r="J31">
        <v>1.0205810725767799</v>
      </c>
      <c r="K31">
        <v>500</v>
      </c>
      <c r="L31">
        <v>0</v>
      </c>
      <c r="N31">
        <v>13</v>
      </c>
      <c r="O31" s="48" t="s">
        <v>866</v>
      </c>
      <c r="P31" t="s">
        <v>737</v>
      </c>
      <c r="Q31" t="s">
        <v>813</v>
      </c>
    </row>
    <row r="32" spans="1:17" x14ac:dyDescent="0.45">
      <c r="A32" t="s">
        <v>19</v>
      </c>
      <c r="B32">
        <v>175</v>
      </c>
      <c r="C32">
        <v>88</v>
      </c>
      <c r="D32">
        <v>2.7</v>
      </c>
      <c r="E32">
        <v>175</v>
      </c>
      <c r="F32">
        <v>92</v>
      </c>
      <c r="G32">
        <v>2.7</v>
      </c>
      <c r="H32">
        <v>3.75</v>
      </c>
      <c r="I32">
        <v>3.42</v>
      </c>
      <c r="J32">
        <v>4.0823242903071197E-2</v>
      </c>
      <c r="K32">
        <v>500</v>
      </c>
      <c r="L32">
        <v>0</v>
      </c>
      <c r="N32">
        <v>13</v>
      </c>
      <c r="O32" s="48" t="s">
        <v>867</v>
      </c>
      <c r="P32" t="s">
        <v>738</v>
      </c>
      <c r="Q32" t="s">
        <v>816</v>
      </c>
    </row>
    <row r="33" spans="1:17" x14ac:dyDescent="0.45">
      <c r="A33" t="s">
        <v>19</v>
      </c>
      <c r="B33">
        <v>175</v>
      </c>
      <c r="C33">
        <v>92</v>
      </c>
      <c r="D33">
        <v>2.7</v>
      </c>
      <c r="E33">
        <v>275</v>
      </c>
      <c r="F33">
        <v>92</v>
      </c>
      <c r="G33">
        <v>2.7</v>
      </c>
      <c r="H33">
        <v>3.75</v>
      </c>
      <c r="I33">
        <v>3.42</v>
      </c>
      <c r="J33">
        <v>1.0205810725767799</v>
      </c>
      <c r="K33">
        <v>500</v>
      </c>
      <c r="L33">
        <v>0</v>
      </c>
      <c r="N33">
        <v>13</v>
      </c>
      <c r="O33" s="48" t="s">
        <v>868</v>
      </c>
      <c r="P33" t="s">
        <v>955</v>
      </c>
      <c r="Q33" t="s">
        <v>815</v>
      </c>
    </row>
    <row r="34" spans="1:17" x14ac:dyDescent="0.45">
      <c r="A34" t="s">
        <v>19</v>
      </c>
      <c r="B34">
        <v>275</v>
      </c>
      <c r="C34">
        <v>92</v>
      </c>
      <c r="D34">
        <v>2.7</v>
      </c>
      <c r="E34">
        <v>275</v>
      </c>
      <c r="F34">
        <v>96</v>
      </c>
      <c r="G34">
        <v>2.7</v>
      </c>
      <c r="H34">
        <v>3.75</v>
      </c>
      <c r="I34">
        <v>3.42</v>
      </c>
      <c r="J34">
        <v>4.0823242903071197E-2</v>
      </c>
      <c r="K34">
        <v>500</v>
      </c>
      <c r="L34">
        <v>0</v>
      </c>
      <c r="N34">
        <v>13</v>
      </c>
      <c r="O34" s="48" t="s">
        <v>869</v>
      </c>
      <c r="P34" t="s">
        <v>808</v>
      </c>
      <c r="Q34" t="s">
        <v>814</v>
      </c>
    </row>
    <row r="35" spans="1:17" x14ac:dyDescent="0.45">
      <c r="A35" t="s">
        <v>19</v>
      </c>
      <c r="B35">
        <v>275</v>
      </c>
      <c r="C35">
        <v>96</v>
      </c>
      <c r="D35">
        <v>2.7</v>
      </c>
      <c r="E35">
        <v>175</v>
      </c>
      <c r="F35">
        <v>96</v>
      </c>
      <c r="G35">
        <v>2.7</v>
      </c>
      <c r="H35">
        <v>3.75</v>
      </c>
      <c r="I35">
        <v>3.42</v>
      </c>
      <c r="J35">
        <v>1.0205810725767799</v>
      </c>
      <c r="K35">
        <v>500</v>
      </c>
      <c r="L35">
        <v>0</v>
      </c>
      <c r="N35">
        <v>13</v>
      </c>
      <c r="O35" s="48" t="s">
        <v>870</v>
      </c>
      <c r="P35" t="s">
        <v>737</v>
      </c>
      <c r="Q35" t="s">
        <v>813</v>
      </c>
    </row>
    <row r="36" spans="1:17" x14ac:dyDescent="0.45">
      <c r="A36" t="s">
        <v>19</v>
      </c>
      <c r="B36">
        <v>175</v>
      </c>
      <c r="C36">
        <v>96</v>
      </c>
      <c r="D36">
        <v>2.7</v>
      </c>
      <c r="E36">
        <v>175</v>
      </c>
      <c r="F36">
        <v>100</v>
      </c>
      <c r="G36">
        <v>2.7</v>
      </c>
      <c r="H36">
        <v>3.75</v>
      </c>
      <c r="I36">
        <v>3.42</v>
      </c>
      <c r="J36">
        <v>4.0823242903071197E-2</v>
      </c>
      <c r="K36">
        <v>500</v>
      </c>
      <c r="L36">
        <v>0</v>
      </c>
      <c r="N36">
        <v>13</v>
      </c>
      <c r="O36" s="48" t="s">
        <v>871</v>
      </c>
      <c r="P36" t="s">
        <v>738</v>
      </c>
      <c r="Q36" t="s">
        <v>824</v>
      </c>
    </row>
    <row r="37" spans="1:17" x14ac:dyDescent="0.45">
      <c r="A37" t="s">
        <v>19</v>
      </c>
      <c r="B37">
        <v>175</v>
      </c>
      <c r="C37">
        <v>100</v>
      </c>
      <c r="D37">
        <v>2.7</v>
      </c>
      <c r="E37">
        <v>275</v>
      </c>
      <c r="F37">
        <v>100</v>
      </c>
      <c r="G37">
        <v>2.7</v>
      </c>
      <c r="H37">
        <v>3.75</v>
      </c>
      <c r="I37">
        <v>3.42</v>
      </c>
      <c r="J37">
        <v>1.0205810725767799</v>
      </c>
      <c r="K37">
        <v>500</v>
      </c>
      <c r="L37">
        <v>0</v>
      </c>
      <c r="N37">
        <v>13</v>
      </c>
      <c r="O37" s="48" t="s">
        <v>872</v>
      </c>
      <c r="P37" t="s">
        <v>955</v>
      </c>
      <c r="Q37" t="s">
        <v>815</v>
      </c>
    </row>
    <row r="38" spans="1:17" x14ac:dyDescent="0.45">
      <c r="A38" t="s">
        <v>39</v>
      </c>
      <c r="B38">
        <v>0</v>
      </c>
      <c r="C38">
        <v>0</v>
      </c>
      <c r="N38">
        <v>14</v>
      </c>
      <c r="O38" s="48" t="s">
        <v>873</v>
      </c>
      <c r="P38" t="s">
        <v>805</v>
      </c>
      <c r="Q38" t="s">
        <v>806</v>
      </c>
    </row>
    <row r="39" spans="1:17" x14ac:dyDescent="0.45">
      <c r="A39" t="s">
        <v>807</v>
      </c>
      <c r="B39">
        <v>2.7</v>
      </c>
      <c r="C39">
        <v>6000</v>
      </c>
      <c r="N39">
        <v>14</v>
      </c>
      <c r="O39" s="48" t="s">
        <v>873</v>
      </c>
      <c r="P39" t="s">
        <v>805</v>
      </c>
      <c r="Q39" t="s">
        <v>826</v>
      </c>
    </row>
    <row r="40" spans="1:17" x14ac:dyDescent="0.45">
      <c r="A40" t="s">
        <v>23</v>
      </c>
      <c r="B40">
        <v>275</v>
      </c>
      <c r="C40">
        <v>100</v>
      </c>
      <c r="D40">
        <v>2.7</v>
      </c>
      <c r="E40">
        <v>275</v>
      </c>
      <c r="F40">
        <v>100</v>
      </c>
      <c r="G40">
        <v>5.4</v>
      </c>
      <c r="H40">
        <v>0</v>
      </c>
      <c r="I40">
        <v>0</v>
      </c>
      <c r="K40">
        <v>3000</v>
      </c>
      <c r="N40">
        <v>0</v>
      </c>
      <c r="O40" s="48">
        <v>0</v>
      </c>
      <c r="P40" t="s">
        <v>659</v>
      </c>
      <c r="Q40" t="s">
        <v>827</v>
      </c>
    </row>
    <row r="41" spans="1:17" x14ac:dyDescent="0.45">
      <c r="A41" t="s">
        <v>23</v>
      </c>
      <c r="B41">
        <v>275</v>
      </c>
      <c r="C41">
        <v>100</v>
      </c>
      <c r="D41">
        <v>5.4</v>
      </c>
      <c r="E41">
        <v>283</v>
      </c>
      <c r="F41">
        <v>100</v>
      </c>
      <c r="G41">
        <v>10.8</v>
      </c>
      <c r="H41">
        <v>0</v>
      </c>
      <c r="I41">
        <v>0</v>
      </c>
      <c r="J41">
        <v>0</v>
      </c>
      <c r="K41">
        <v>3000</v>
      </c>
      <c r="L41">
        <v>0</v>
      </c>
      <c r="N41">
        <v>16</v>
      </c>
      <c r="O41" s="48" t="s">
        <v>874</v>
      </c>
      <c r="P41" t="s">
        <v>741</v>
      </c>
      <c r="Q41" t="s">
        <v>990</v>
      </c>
    </row>
    <row r="42" spans="1:17" x14ac:dyDescent="0.45">
      <c r="A42" t="s">
        <v>23</v>
      </c>
      <c r="B42">
        <v>283</v>
      </c>
      <c r="C42">
        <v>100</v>
      </c>
      <c r="D42">
        <v>10.8</v>
      </c>
      <c r="E42">
        <v>283</v>
      </c>
      <c r="F42">
        <v>140</v>
      </c>
      <c r="G42">
        <v>10.8</v>
      </c>
      <c r="H42">
        <v>0</v>
      </c>
      <c r="I42">
        <v>0</v>
      </c>
      <c r="J42">
        <v>0</v>
      </c>
      <c r="K42">
        <v>3000</v>
      </c>
      <c r="L42">
        <v>0</v>
      </c>
      <c r="N42">
        <v>17</v>
      </c>
      <c r="O42" s="48" t="s">
        <v>740</v>
      </c>
      <c r="P42" t="s">
        <v>875</v>
      </c>
      <c r="Q42" t="s">
        <v>811</v>
      </c>
    </row>
    <row r="43" spans="1:17" x14ac:dyDescent="0.45">
      <c r="A43" t="s">
        <v>49</v>
      </c>
      <c r="B43" t="s">
        <v>203</v>
      </c>
      <c r="C43">
        <v>1</v>
      </c>
      <c r="N43">
        <v>18</v>
      </c>
      <c r="O43" s="48" t="s">
        <v>742</v>
      </c>
      <c r="P43" t="s">
        <v>991</v>
      </c>
      <c r="Q43" t="s">
        <v>468</v>
      </c>
    </row>
    <row r="44" spans="1:17" x14ac:dyDescent="0.45">
      <c r="A44" t="s">
        <v>23</v>
      </c>
      <c r="B44">
        <v>283</v>
      </c>
      <c r="C44">
        <v>140</v>
      </c>
      <c r="D44">
        <v>10.8</v>
      </c>
      <c r="E44">
        <v>225</v>
      </c>
      <c r="F44">
        <v>86</v>
      </c>
      <c r="G44">
        <v>8.1000000000000014</v>
      </c>
      <c r="H44">
        <v>0</v>
      </c>
      <c r="I44">
        <v>0</v>
      </c>
      <c r="J44">
        <v>0</v>
      </c>
      <c r="K44">
        <v>3000</v>
      </c>
      <c r="L44">
        <v>0</v>
      </c>
      <c r="N44">
        <v>19</v>
      </c>
      <c r="O44" s="48" t="s">
        <v>876</v>
      </c>
      <c r="P44" t="s">
        <v>877</v>
      </c>
      <c r="Q44" t="s">
        <v>1050</v>
      </c>
    </row>
    <row r="45" spans="1:17" x14ac:dyDescent="0.45">
      <c r="A45" t="s">
        <v>49</v>
      </c>
      <c r="B45" t="s">
        <v>979</v>
      </c>
      <c r="N45">
        <v>20</v>
      </c>
      <c r="O45" s="48" t="s">
        <v>992</v>
      </c>
      <c r="P45" t="s">
        <v>993</v>
      </c>
      <c r="Q45" t="s">
        <v>979</v>
      </c>
    </row>
    <row r="46" spans="1:17" x14ac:dyDescent="0.45">
      <c r="A46" t="s">
        <v>23</v>
      </c>
      <c r="B46">
        <v>225</v>
      </c>
      <c r="C46">
        <v>86</v>
      </c>
      <c r="D46">
        <v>8.1000000000000014</v>
      </c>
      <c r="E46">
        <v>225</v>
      </c>
      <c r="F46">
        <v>86</v>
      </c>
      <c r="G46">
        <v>28.1</v>
      </c>
      <c r="H46">
        <v>0</v>
      </c>
      <c r="I46">
        <v>0</v>
      </c>
      <c r="J46">
        <v>0</v>
      </c>
      <c r="K46">
        <v>3000</v>
      </c>
      <c r="L46">
        <v>0</v>
      </c>
      <c r="N46">
        <v>21</v>
      </c>
      <c r="O46" s="48" t="s">
        <v>878</v>
      </c>
      <c r="P46" t="s">
        <v>879</v>
      </c>
      <c r="Q46" t="s">
        <v>994</v>
      </c>
    </row>
    <row r="47" spans="1:17" x14ac:dyDescent="0.45">
      <c r="A47" t="s">
        <v>49</v>
      </c>
      <c r="B47" t="s">
        <v>203</v>
      </c>
      <c r="C47">
        <v>2</v>
      </c>
      <c r="N47">
        <v>22</v>
      </c>
      <c r="O47" s="48" t="s">
        <v>881</v>
      </c>
      <c r="P47" t="s">
        <v>995</v>
      </c>
      <c r="Q47" t="s">
        <v>499</v>
      </c>
    </row>
    <row r="48" spans="1:17" x14ac:dyDescent="0.45">
      <c r="A48" t="s">
        <v>49</v>
      </c>
      <c r="B48" t="s">
        <v>792</v>
      </c>
      <c r="N48">
        <v>23</v>
      </c>
      <c r="O48" s="48" t="s">
        <v>883</v>
      </c>
      <c r="P48" t="s">
        <v>996</v>
      </c>
      <c r="Q48" t="s">
        <v>792</v>
      </c>
    </row>
    <row r="49" spans="1:17" x14ac:dyDescent="0.45">
      <c r="A49" t="s">
        <v>23</v>
      </c>
      <c r="B49">
        <v>225</v>
      </c>
      <c r="C49">
        <v>86</v>
      </c>
      <c r="D49">
        <v>28.1</v>
      </c>
      <c r="E49">
        <v>275</v>
      </c>
      <c r="F49">
        <v>125</v>
      </c>
      <c r="G49">
        <v>28.1</v>
      </c>
      <c r="H49">
        <v>0</v>
      </c>
      <c r="I49">
        <v>0</v>
      </c>
      <c r="K49">
        <v>3000</v>
      </c>
      <c r="N49">
        <v>0</v>
      </c>
      <c r="O49" s="48">
        <v>0</v>
      </c>
      <c r="P49" t="s">
        <v>659</v>
      </c>
      <c r="Q49" t="s">
        <v>997</v>
      </c>
    </row>
    <row r="50" spans="1:17" x14ac:dyDescent="0.45">
      <c r="A50" t="s">
        <v>19</v>
      </c>
      <c r="B50">
        <v>275</v>
      </c>
      <c r="C50">
        <v>125</v>
      </c>
      <c r="D50">
        <v>28.1</v>
      </c>
      <c r="E50">
        <v>275</v>
      </c>
      <c r="F50">
        <v>100</v>
      </c>
      <c r="G50">
        <v>8.1000000000000014</v>
      </c>
      <c r="H50">
        <v>3.75</v>
      </c>
      <c r="I50">
        <v>3.42</v>
      </c>
      <c r="J50">
        <v>0.32674537010407961</v>
      </c>
      <c r="K50">
        <v>500</v>
      </c>
      <c r="L50">
        <v>0</v>
      </c>
      <c r="N50">
        <v>24</v>
      </c>
      <c r="O50" s="48" t="s">
        <v>886</v>
      </c>
      <c r="P50" t="s">
        <v>882</v>
      </c>
      <c r="Q50" t="s">
        <v>998</v>
      </c>
    </row>
    <row r="51" spans="1:17" x14ac:dyDescent="0.45">
      <c r="A51" t="s">
        <v>19</v>
      </c>
      <c r="B51">
        <v>275</v>
      </c>
      <c r="C51">
        <v>100</v>
      </c>
      <c r="D51">
        <v>8.1000000000000014</v>
      </c>
      <c r="E51">
        <v>175</v>
      </c>
      <c r="F51">
        <v>100</v>
      </c>
      <c r="G51">
        <v>8.1000000000000014</v>
      </c>
      <c r="H51">
        <v>3.75</v>
      </c>
      <c r="I51">
        <v>3.42</v>
      </c>
      <c r="J51">
        <v>1.0205810725767799</v>
      </c>
      <c r="K51">
        <v>500</v>
      </c>
      <c r="L51">
        <v>0</v>
      </c>
      <c r="N51">
        <v>25</v>
      </c>
      <c r="O51" s="48" t="s">
        <v>999</v>
      </c>
      <c r="P51" t="s">
        <v>884</v>
      </c>
      <c r="Q51" t="s">
        <v>813</v>
      </c>
    </row>
    <row r="52" spans="1:17" x14ac:dyDescent="0.45">
      <c r="A52" t="s">
        <v>19</v>
      </c>
      <c r="B52">
        <v>175</v>
      </c>
      <c r="C52">
        <v>100</v>
      </c>
      <c r="D52">
        <v>8.1000000000000014</v>
      </c>
      <c r="E52">
        <v>175</v>
      </c>
      <c r="F52">
        <v>96</v>
      </c>
      <c r="G52">
        <v>8.1000000000000014</v>
      </c>
      <c r="H52">
        <v>3.75</v>
      </c>
      <c r="I52">
        <v>3.42</v>
      </c>
      <c r="J52">
        <v>4.0823242903071197E-2</v>
      </c>
      <c r="K52">
        <v>500</v>
      </c>
      <c r="L52">
        <v>0</v>
      </c>
      <c r="N52">
        <v>26</v>
      </c>
      <c r="O52" s="48" t="s">
        <v>888</v>
      </c>
      <c r="P52" t="s">
        <v>887</v>
      </c>
      <c r="Q52" t="s">
        <v>814</v>
      </c>
    </row>
    <row r="53" spans="1:17" x14ac:dyDescent="0.45">
      <c r="A53" t="s">
        <v>19</v>
      </c>
      <c r="B53">
        <v>175</v>
      </c>
      <c r="C53">
        <v>96</v>
      </c>
      <c r="D53">
        <v>8.1000000000000014</v>
      </c>
      <c r="E53">
        <v>275</v>
      </c>
      <c r="F53">
        <v>96</v>
      </c>
      <c r="G53">
        <v>8.1000000000000014</v>
      </c>
      <c r="H53">
        <v>3.75</v>
      </c>
      <c r="I53">
        <v>3.42</v>
      </c>
      <c r="J53">
        <v>1.0205810725767799</v>
      </c>
      <c r="K53">
        <v>500</v>
      </c>
      <c r="L53">
        <v>0</v>
      </c>
      <c r="N53">
        <v>27</v>
      </c>
      <c r="O53" s="48" t="s">
        <v>890</v>
      </c>
      <c r="P53" t="s">
        <v>889</v>
      </c>
      <c r="Q53" t="s">
        <v>815</v>
      </c>
    </row>
    <row r="54" spans="1:17" x14ac:dyDescent="0.45">
      <c r="A54" t="s">
        <v>19</v>
      </c>
      <c r="B54">
        <v>275</v>
      </c>
      <c r="C54">
        <v>96</v>
      </c>
      <c r="D54">
        <v>8.1000000000000014</v>
      </c>
      <c r="E54">
        <v>275</v>
      </c>
      <c r="F54">
        <v>92</v>
      </c>
      <c r="G54">
        <v>8.1000000000000014</v>
      </c>
      <c r="H54">
        <v>3.75</v>
      </c>
      <c r="I54">
        <v>3.42</v>
      </c>
      <c r="J54">
        <v>4.0823242903071197E-2</v>
      </c>
      <c r="K54">
        <v>500</v>
      </c>
      <c r="L54">
        <v>0</v>
      </c>
      <c r="N54">
        <v>28</v>
      </c>
      <c r="O54" s="48" t="s">
        <v>892</v>
      </c>
      <c r="P54" t="s">
        <v>891</v>
      </c>
      <c r="Q54" t="s">
        <v>816</v>
      </c>
    </row>
    <row r="55" spans="1:17" x14ac:dyDescent="0.45">
      <c r="A55" t="s">
        <v>19</v>
      </c>
      <c r="B55">
        <v>275</v>
      </c>
      <c r="C55">
        <v>92</v>
      </c>
      <c r="D55">
        <v>8.1000000000000014</v>
      </c>
      <c r="E55">
        <v>242.25</v>
      </c>
      <c r="F55">
        <v>92</v>
      </c>
      <c r="G55">
        <v>8.1000000000000014</v>
      </c>
      <c r="H55">
        <v>3.75</v>
      </c>
      <c r="I55">
        <v>3.42</v>
      </c>
      <c r="J55">
        <v>0.33424030126889542</v>
      </c>
      <c r="K55">
        <v>500</v>
      </c>
      <c r="L55">
        <v>0</v>
      </c>
      <c r="N55">
        <v>30</v>
      </c>
      <c r="O55" s="48" t="s">
        <v>1000</v>
      </c>
      <c r="P55" t="s">
        <v>893</v>
      </c>
      <c r="Q55" t="s">
        <v>880</v>
      </c>
    </row>
    <row r="56" spans="1:17" x14ac:dyDescent="0.45">
      <c r="A56" t="s">
        <v>19</v>
      </c>
      <c r="B56">
        <v>242.25</v>
      </c>
      <c r="C56">
        <v>92</v>
      </c>
      <c r="D56">
        <v>8.1000000000000014</v>
      </c>
      <c r="E56">
        <v>242.25</v>
      </c>
      <c r="F56">
        <v>88</v>
      </c>
      <c r="G56">
        <v>8.1000000000000014</v>
      </c>
      <c r="H56">
        <v>3.75</v>
      </c>
      <c r="I56">
        <v>3.42</v>
      </c>
      <c r="J56">
        <v>4.0823242903071197E-2</v>
      </c>
      <c r="K56">
        <v>500</v>
      </c>
      <c r="L56">
        <v>0</v>
      </c>
      <c r="N56">
        <v>31</v>
      </c>
      <c r="O56" s="48" t="s">
        <v>895</v>
      </c>
      <c r="P56" t="s">
        <v>894</v>
      </c>
      <c r="Q56" t="s">
        <v>817</v>
      </c>
    </row>
    <row r="57" spans="1:17" x14ac:dyDescent="0.45">
      <c r="A57" t="s">
        <v>19</v>
      </c>
      <c r="B57">
        <v>242.25</v>
      </c>
      <c r="C57">
        <v>88</v>
      </c>
      <c r="D57">
        <v>8.1000000000000014</v>
      </c>
      <c r="E57">
        <v>275</v>
      </c>
      <c r="F57">
        <v>88</v>
      </c>
      <c r="G57">
        <v>8.1000000000000014</v>
      </c>
      <c r="H57">
        <v>3.75</v>
      </c>
      <c r="I57">
        <v>3.42</v>
      </c>
      <c r="J57">
        <v>0.33424030126889542</v>
      </c>
      <c r="K57">
        <v>500</v>
      </c>
      <c r="L57">
        <v>0</v>
      </c>
      <c r="N57">
        <v>32</v>
      </c>
      <c r="O57" s="48" t="s">
        <v>897</v>
      </c>
      <c r="P57" t="s">
        <v>898</v>
      </c>
      <c r="Q57" t="s">
        <v>885</v>
      </c>
    </row>
    <row r="58" spans="1:17" x14ac:dyDescent="0.45">
      <c r="A58" t="s">
        <v>19</v>
      </c>
      <c r="B58">
        <v>275</v>
      </c>
      <c r="C58">
        <v>88</v>
      </c>
      <c r="D58">
        <v>8.1000000000000014</v>
      </c>
      <c r="E58">
        <v>275</v>
      </c>
      <c r="F58">
        <v>84</v>
      </c>
      <c r="G58">
        <v>8.1000000000000014</v>
      </c>
      <c r="H58">
        <v>3.75</v>
      </c>
      <c r="I58">
        <v>3.42</v>
      </c>
      <c r="J58">
        <v>4.0823242903071197E-2</v>
      </c>
      <c r="K58">
        <v>500</v>
      </c>
      <c r="L58">
        <v>0</v>
      </c>
      <c r="N58">
        <v>33</v>
      </c>
      <c r="O58" s="48" t="s">
        <v>900</v>
      </c>
      <c r="P58" t="s">
        <v>901</v>
      </c>
      <c r="Q58" t="s">
        <v>818</v>
      </c>
    </row>
    <row r="59" spans="1:17" x14ac:dyDescent="0.45">
      <c r="A59" t="s">
        <v>23</v>
      </c>
      <c r="B59">
        <v>275</v>
      </c>
      <c r="C59">
        <v>84</v>
      </c>
      <c r="D59">
        <v>8.1000000000000014</v>
      </c>
      <c r="E59">
        <v>242.25</v>
      </c>
      <c r="F59">
        <v>84</v>
      </c>
      <c r="G59">
        <v>8.1000000000000014</v>
      </c>
      <c r="H59">
        <v>0</v>
      </c>
      <c r="I59">
        <v>0</v>
      </c>
      <c r="K59">
        <v>3000</v>
      </c>
      <c r="N59">
        <v>0</v>
      </c>
      <c r="O59" s="48">
        <v>0</v>
      </c>
      <c r="P59" t="s">
        <v>659</v>
      </c>
      <c r="Q59" t="s">
        <v>1001</v>
      </c>
    </row>
    <row r="60" spans="1:17" x14ac:dyDescent="0.45">
      <c r="A60" t="s">
        <v>19</v>
      </c>
      <c r="B60">
        <v>242.25</v>
      </c>
      <c r="C60">
        <v>84</v>
      </c>
      <c r="D60">
        <v>8.1000000000000014</v>
      </c>
      <c r="E60">
        <v>242.25</v>
      </c>
      <c r="F60">
        <v>80</v>
      </c>
      <c r="G60">
        <v>8.1000000000000014</v>
      </c>
      <c r="H60">
        <v>3.75</v>
      </c>
      <c r="I60">
        <v>3.42</v>
      </c>
      <c r="J60">
        <v>4.0823242903071197E-2</v>
      </c>
      <c r="K60">
        <v>500</v>
      </c>
      <c r="L60">
        <v>0</v>
      </c>
      <c r="N60">
        <v>34</v>
      </c>
      <c r="O60" s="48" t="s">
        <v>1002</v>
      </c>
      <c r="P60" t="s">
        <v>1003</v>
      </c>
      <c r="Q60" t="s">
        <v>972</v>
      </c>
    </row>
    <row r="61" spans="1:17" x14ac:dyDescent="0.45">
      <c r="A61" t="s">
        <v>19</v>
      </c>
      <c r="B61">
        <v>242.25</v>
      </c>
      <c r="C61">
        <v>80</v>
      </c>
      <c r="D61">
        <v>8.1000000000000014</v>
      </c>
      <c r="E61">
        <v>275</v>
      </c>
      <c r="F61">
        <v>80</v>
      </c>
      <c r="G61">
        <v>8.1000000000000014</v>
      </c>
      <c r="H61">
        <v>3.75</v>
      </c>
      <c r="I61">
        <v>3.42</v>
      </c>
      <c r="J61">
        <v>0.33424030126889542</v>
      </c>
      <c r="K61">
        <v>500</v>
      </c>
      <c r="L61">
        <v>0</v>
      </c>
      <c r="N61">
        <v>34</v>
      </c>
      <c r="O61" s="48" t="s">
        <v>1004</v>
      </c>
      <c r="P61" t="s">
        <v>1005</v>
      </c>
      <c r="Q61" t="s">
        <v>885</v>
      </c>
    </row>
    <row r="62" spans="1:17" x14ac:dyDescent="0.45">
      <c r="A62" t="s">
        <v>19</v>
      </c>
      <c r="B62">
        <v>275</v>
      </c>
      <c r="C62">
        <v>80</v>
      </c>
      <c r="D62">
        <v>8.1000000000000014</v>
      </c>
      <c r="E62">
        <v>275</v>
      </c>
      <c r="F62">
        <v>76</v>
      </c>
      <c r="G62">
        <v>8.1000000000000014</v>
      </c>
      <c r="H62">
        <v>3.75</v>
      </c>
      <c r="I62">
        <v>3.42</v>
      </c>
      <c r="J62">
        <v>4.0823242903071197E-2</v>
      </c>
      <c r="K62">
        <v>500</v>
      </c>
      <c r="L62">
        <v>0</v>
      </c>
      <c r="N62">
        <v>34</v>
      </c>
      <c r="O62" s="48" t="s">
        <v>1006</v>
      </c>
      <c r="P62" t="s">
        <v>1007</v>
      </c>
      <c r="Q62" t="s">
        <v>820</v>
      </c>
    </row>
    <row r="63" spans="1:17" x14ac:dyDescent="0.45">
      <c r="A63" t="s">
        <v>19</v>
      </c>
      <c r="B63">
        <v>275</v>
      </c>
      <c r="C63">
        <v>76</v>
      </c>
      <c r="D63">
        <v>8.1000000000000014</v>
      </c>
      <c r="E63">
        <v>175</v>
      </c>
      <c r="F63">
        <v>76</v>
      </c>
      <c r="G63">
        <v>8.1000000000000014</v>
      </c>
      <c r="H63">
        <v>3.75</v>
      </c>
      <c r="I63">
        <v>3.42</v>
      </c>
      <c r="J63">
        <v>1.0205810725767799</v>
      </c>
      <c r="K63">
        <v>500</v>
      </c>
      <c r="L63">
        <v>0</v>
      </c>
      <c r="N63">
        <v>35</v>
      </c>
      <c r="O63" s="48" t="s">
        <v>904</v>
      </c>
      <c r="P63" t="s">
        <v>903</v>
      </c>
      <c r="Q63" t="s">
        <v>813</v>
      </c>
    </row>
    <row r="64" spans="1:17" x14ac:dyDescent="0.45">
      <c r="A64" t="s">
        <v>19</v>
      </c>
      <c r="B64">
        <v>175</v>
      </c>
      <c r="C64">
        <v>76</v>
      </c>
      <c r="D64">
        <v>8.1000000000000014</v>
      </c>
      <c r="E64">
        <v>175</v>
      </c>
      <c r="F64">
        <v>72</v>
      </c>
      <c r="G64">
        <v>8.1000000000000014</v>
      </c>
      <c r="H64">
        <v>3.75</v>
      </c>
      <c r="I64">
        <v>3.42</v>
      </c>
      <c r="J64">
        <v>4.0823242903071197E-2</v>
      </c>
      <c r="K64">
        <v>500</v>
      </c>
      <c r="L64">
        <v>0</v>
      </c>
      <c r="N64">
        <v>36</v>
      </c>
      <c r="O64" s="48" t="s">
        <v>907</v>
      </c>
      <c r="P64" t="s">
        <v>908</v>
      </c>
      <c r="Q64" t="s">
        <v>821</v>
      </c>
    </row>
    <row r="65" spans="1:17" x14ac:dyDescent="0.45">
      <c r="A65" t="s">
        <v>19</v>
      </c>
      <c r="B65">
        <v>175</v>
      </c>
      <c r="C65">
        <v>72</v>
      </c>
      <c r="D65">
        <v>8.1000000000000014</v>
      </c>
      <c r="E65">
        <v>275</v>
      </c>
      <c r="F65">
        <v>72</v>
      </c>
      <c r="G65">
        <v>8.1000000000000014</v>
      </c>
      <c r="H65">
        <v>3.75</v>
      </c>
      <c r="I65">
        <v>3.42</v>
      </c>
      <c r="J65">
        <v>1.0205810725767799</v>
      </c>
      <c r="K65">
        <v>500</v>
      </c>
      <c r="L65">
        <v>0</v>
      </c>
      <c r="N65">
        <v>37</v>
      </c>
      <c r="O65" s="48" t="s">
        <v>909</v>
      </c>
      <c r="P65" t="s">
        <v>910</v>
      </c>
      <c r="Q65" t="s">
        <v>815</v>
      </c>
    </row>
    <row r="66" spans="1:17" x14ac:dyDescent="0.45">
      <c r="A66" t="s">
        <v>19</v>
      </c>
      <c r="B66">
        <v>275</v>
      </c>
      <c r="C66">
        <v>72</v>
      </c>
      <c r="D66">
        <v>8.1000000000000014</v>
      </c>
      <c r="E66">
        <v>275</v>
      </c>
      <c r="F66">
        <v>68</v>
      </c>
      <c r="G66">
        <v>8.1000000000000014</v>
      </c>
      <c r="H66">
        <v>3.75</v>
      </c>
      <c r="I66">
        <v>3.42</v>
      </c>
      <c r="J66">
        <v>4.0823242903071197E-2</v>
      </c>
      <c r="K66">
        <v>500</v>
      </c>
      <c r="L66">
        <v>0</v>
      </c>
      <c r="N66">
        <v>38</v>
      </c>
      <c r="O66" s="48" t="s">
        <v>912</v>
      </c>
      <c r="P66" t="s">
        <v>913</v>
      </c>
      <c r="Q66" t="s">
        <v>822</v>
      </c>
    </row>
    <row r="67" spans="1:17" x14ac:dyDescent="0.45">
      <c r="A67" t="s">
        <v>39</v>
      </c>
      <c r="B67">
        <v>0</v>
      </c>
      <c r="C67">
        <v>0</v>
      </c>
      <c r="N67">
        <v>40</v>
      </c>
      <c r="O67" s="48" t="s">
        <v>915</v>
      </c>
      <c r="P67" t="s">
        <v>810</v>
      </c>
      <c r="Q67" t="s">
        <v>806</v>
      </c>
    </row>
    <row r="68" spans="1:17" x14ac:dyDescent="0.45">
      <c r="A68" t="s">
        <v>807</v>
      </c>
      <c r="B68">
        <v>2.7</v>
      </c>
      <c r="C68">
        <v>6000</v>
      </c>
      <c r="N68">
        <v>40</v>
      </c>
      <c r="O68" s="48" t="s">
        <v>915</v>
      </c>
      <c r="P68" t="s">
        <v>810</v>
      </c>
      <c r="Q68" t="s">
        <v>831</v>
      </c>
    </row>
    <row r="69" spans="1:17" x14ac:dyDescent="0.45">
      <c r="A69" t="s">
        <v>23</v>
      </c>
      <c r="B69">
        <v>275</v>
      </c>
      <c r="C69">
        <v>68</v>
      </c>
      <c r="D69">
        <v>8.1000000000000014</v>
      </c>
      <c r="E69">
        <v>275</v>
      </c>
      <c r="F69">
        <v>68</v>
      </c>
      <c r="G69">
        <v>10.8</v>
      </c>
      <c r="H69">
        <v>0</v>
      </c>
      <c r="I69">
        <v>0</v>
      </c>
      <c r="K69">
        <v>3000</v>
      </c>
      <c r="N69">
        <v>0</v>
      </c>
      <c r="O69" s="48">
        <v>0</v>
      </c>
      <c r="P69" t="s">
        <v>659</v>
      </c>
      <c r="Q69" t="s">
        <v>832</v>
      </c>
    </row>
    <row r="70" spans="1:17" x14ac:dyDescent="0.45">
      <c r="A70" t="s">
        <v>23</v>
      </c>
      <c r="B70">
        <v>275</v>
      </c>
      <c r="C70">
        <v>68</v>
      </c>
      <c r="D70">
        <v>10.8</v>
      </c>
      <c r="E70">
        <v>171</v>
      </c>
      <c r="F70">
        <v>68</v>
      </c>
      <c r="G70">
        <v>10.8</v>
      </c>
      <c r="H70">
        <v>0</v>
      </c>
      <c r="I70">
        <v>0</v>
      </c>
      <c r="J70">
        <v>0</v>
      </c>
      <c r="K70">
        <v>3000</v>
      </c>
      <c r="L70">
        <v>0</v>
      </c>
      <c r="N70">
        <v>41</v>
      </c>
      <c r="O70" s="48" t="s">
        <v>1008</v>
      </c>
      <c r="P70" t="s">
        <v>914</v>
      </c>
      <c r="Q70" t="s">
        <v>899</v>
      </c>
    </row>
    <row r="71" spans="1:17" x14ac:dyDescent="0.45">
      <c r="A71" t="s">
        <v>23</v>
      </c>
      <c r="B71">
        <v>171</v>
      </c>
      <c r="C71">
        <v>68</v>
      </c>
      <c r="D71">
        <v>10.8</v>
      </c>
      <c r="E71">
        <v>171</v>
      </c>
      <c r="F71">
        <v>80</v>
      </c>
      <c r="G71">
        <v>10.8</v>
      </c>
      <c r="H71">
        <v>0</v>
      </c>
      <c r="I71">
        <v>0</v>
      </c>
      <c r="J71">
        <v>0</v>
      </c>
      <c r="K71">
        <v>3000</v>
      </c>
      <c r="L71">
        <v>0</v>
      </c>
      <c r="N71">
        <v>42</v>
      </c>
      <c r="O71" s="48" t="s">
        <v>917</v>
      </c>
      <c r="P71" t="s">
        <v>916</v>
      </c>
      <c r="Q71" t="s">
        <v>902</v>
      </c>
    </row>
    <row r="72" spans="1:17" x14ac:dyDescent="0.45">
      <c r="A72" t="s">
        <v>39</v>
      </c>
      <c r="B72">
        <v>0</v>
      </c>
      <c r="C72">
        <v>0</v>
      </c>
      <c r="N72">
        <v>43</v>
      </c>
      <c r="O72" s="48" t="s">
        <v>919</v>
      </c>
      <c r="P72" t="s">
        <v>896</v>
      </c>
      <c r="Q72" t="s">
        <v>806</v>
      </c>
    </row>
    <row r="73" spans="1:17" x14ac:dyDescent="0.45">
      <c r="A73" t="s">
        <v>807</v>
      </c>
      <c r="B73">
        <v>-2.7</v>
      </c>
      <c r="C73">
        <v>6000</v>
      </c>
      <c r="N73">
        <v>43</v>
      </c>
      <c r="O73" s="48" t="s">
        <v>919</v>
      </c>
      <c r="P73" t="s">
        <v>896</v>
      </c>
      <c r="Q73" t="s">
        <v>829</v>
      </c>
    </row>
    <row r="74" spans="1:17" x14ac:dyDescent="0.45">
      <c r="A74" t="s">
        <v>39</v>
      </c>
      <c r="B74">
        <v>0.3</v>
      </c>
      <c r="C74">
        <v>5000</v>
      </c>
      <c r="N74">
        <v>44</v>
      </c>
      <c r="O74" s="48" t="s">
        <v>921</v>
      </c>
      <c r="P74" t="s">
        <v>905</v>
      </c>
      <c r="Q74" t="s">
        <v>906</v>
      </c>
    </row>
    <row r="75" spans="1:17" x14ac:dyDescent="0.45">
      <c r="A75" t="s">
        <v>23</v>
      </c>
      <c r="B75">
        <v>171</v>
      </c>
      <c r="C75">
        <v>80</v>
      </c>
      <c r="D75">
        <v>10.8</v>
      </c>
      <c r="E75">
        <v>171</v>
      </c>
      <c r="F75">
        <v>80</v>
      </c>
      <c r="G75">
        <v>8.1000000000000014</v>
      </c>
      <c r="H75">
        <v>0</v>
      </c>
      <c r="I75">
        <v>0</v>
      </c>
      <c r="K75">
        <v>3000</v>
      </c>
      <c r="N75">
        <v>0</v>
      </c>
      <c r="O75" s="48">
        <v>0</v>
      </c>
      <c r="P75" t="s">
        <v>659</v>
      </c>
      <c r="Q75" t="s">
        <v>830</v>
      </c>
    </row>
    <row r="76" spans="1:17" x14ac:dyDescent="0.45">
      <c r="A76" t="s">
        <v>23</v>
      </c>
      <c r="B76">
        <v>171</v>
      </c>
      <c r="C76">
        <v>80</v>
      </c>
      <c r="D76">
        <v>8.1000000000000014</v>
      </c>
      <c r="E76">
        <v>175</v>
      </c>
      <c r="F76">
        <v>80</v>
      </c>
      <c r="G76">
        <v>8.1000000000000014</v>
      </c>
      <c r="H76">
        <v>0</v>
      </c>
      <c r="I76">
        <v>0</v>
      </c>
      <c r="J76">
        <v>0</v>
      </c>
      <c r="K76">
        <v>3000</v>
      </c>
      <c r="L76">
        <v>0</v>
      </c>
      <c r="N76">
        <v>45</v>
      </c>
      <c r="O76" s="48" t="s">
        <v>923</v>
      </c>
      <c r="P76" t="s">
        <v>920</v>
      </c>
      <c r="Q76" t="s">
        <v>967</v>
      </c>
    </row>
    <row r="77" spans="1:17" x14ac:dyDescent="0.45">
      <c r="A77" t="s">
        <v>19</v>
      </c>
      <c r="B77">
        <v>175</v>
      </c>
      <c r="C77">
        <v>80</v>
      </c>
      <c r="D77">
        <v>8.1000000000000014</v>
      </c>
      <c r="E77">
        <v>207.75</v>
      </c>
      <c r="F77">
        <v>80</v>
      </c>
      <c r="G77">
        <v>8.1000000000000014</v>
      </c>
      <c r="H77">
        <v>3.75</v>
      </c>
      <c r="I77">
        <v>3.42</v>
      </c>
      <c r="J77">
        <v>0.33424030126889542</v>
      </c>
      <c r="K77">
        <v>500</v>
      </c>
      <c r="L77">
        <v>0</v>
      </c>
      <c r="N77">
        <v>46</v>
      </c>
      <c r="O77" s="48" t="s">
        <v>925</v>
      </c>
      <c r="P77" t="s">
        <v>922</v>
      </c>
      <c r="Q77" t="s">
        <v>911</v>
      </c>
    </row>
    <row r="78" spans="1:17" x14ac:dyDescent="0.45">
      <c r="A78" t="s">
        <v>19</v>
      </c>
      <c r="B78">
        <v>207.75</v>
      </c>
      <c r="C78">
        <v>80</v>
      </c>
      <c r="D78">
        <v>8.1000000000000014</v>
      </c>
      <c r="E78">
        <v>207.75</v>
      </c>
      <c r="F78">
        <v>84</v>
      </c>
      <c r="G78">
        <v>8.1000000000000014</v>
      </c>
      <c r="H78">
        <v>3.75</v>
      </c>
      <c r="I78">
        <v>3.42</v>
      </c>
      <c r="J78">
        <v>4.0823242903071197E-2</v>
      </c>
      <c r="K78">
        <v>500</v>
      </c>
      <c r="L78">
        <v>0</v>
      </c>
      <c r="N78">
        <v>47</v>
      </c>
      <c r="O78" s="48" t="s">
        <v>927</v>
      </c>
      <c r="P78" t="s">
        <v>924</v>
      </c>
      <c r="Q78" t="s">
        <v>818</v>
      </c>
    </row>
    <row r="79" spans="1:17" x14ac:dyDescent="0.45">
      <c r="A79" t="s">
        <v>19</v>
      </c>
      <c r="B79">
        <v>207.75</v>
      </c>
      <c r="C79">
        <v>84</v>
      </c>
      <c r="D79">
        <v>8.1000000000000014</v>
      </c>
      <c r="E79">
        <v>175</v>
      </c>
      <c r="F79">
        <v>84</v>
      </c>
      <c r="G79">
        <v>8.1000000000000014</v>
      </c>
      <c r="H79">
        <v>3.75</v>
      </c>
      <c r="I79">
        <v>3.42</v>
      </c>
      <c r="J79">
        <v>0.33424030126889542</v>
      </c>
      <c r="K79">
        <v>500</v>
      </c>
      <c r="L79">
        <v>0</v>
      </c>
      <c r="N79">
        <v>48</v>
      </c>
      <c r="O79" s="48" t="s">
        <v>929</v>
      </c>
      <c r="P79" t="s">
        <v>928</v>
      </c>
      <c r="Q79" t="s">
        <v>969</v>
      </c>
    </row>
    <row r="80" spans="1:17" x14ac:dyDescent="0.45">
      <c r="A80" t="s">
        <v>19</v>
      </c>
      <c r="B80">
        <v>175</v>
      </c>
      <c r="C80">
        <v>84</v>
      </c>
      <c r="D80">
        <v>8.1000000000000014</v>
      </c>
      <c r="E80">
        <v>175</v>
      </c>
      <c r="F80">
        <v>88</v>
      </c>
      <c r="G80">
        <v>8.1000000000000014</v>
      </c>
      <c r="H80">
        <v>3.75</v>
      </c>
      <c r="I80">
        <v>3.42</v>
      </c>
      <c r="J80">
        <v>4.0823242903071197E-2</v>
      </c>
      <c r="K80">
        <v>500</v>
      </c>
      <c r="L80">
        <v>0</v>
      </c>
      <c r="N80">
        <v>49</v>
      </c>
      <c r="O80" s="48" t="s">
        <v>931</v>
      </c>
      <c r="P80" t="s">
        <v>930</v>
      </c>
      <c r="Q80" t="s">
        <v>817</v>
      </c>
    </row>
    <row r="81" spans="1:17" x14ac:dyDescent="0.45">
      <c r="A81" t="s">
        <v>19</v>
      </c>
      <c r="B81">
        <v>175</v>
      </c>
      <c r="C81">
        <v>88</v>
      </c>
      <c r="D81">
        <v>8.1000000000000014</v>
      </c>
      <c r="E81">
        <v>207.75</v>
      </c>
      <c r="F81">
        <v>88</v>
      </c>
      <c r="G81">
        <v>8.1000000000000014</v>
      </c>
      <c r="H81">
        <v>3.75</v>
      </c>
      <c r="I81">
        <v>3.42</v>
      </c>
      <c r="J81">
        <v>0.33424030126889542</v>
      </c>
      <c r="K81">
        <v>500</v>
      </c>
      <c r="L81">
        <v>0</v>
      </c>
      <c r="N81">
        <v>50</v>
      </c>
      <c r="O81" s="48" t="s">
        <v>1009</v>
      </c>
      <c r="P81" t="s">
        <v>956</v>
      </c>
      <c r="Q81" t="s">
        <v>970</v>
      </c>
    </row>
    <row r="82" spans="1:17" x14ac:dyDescent="0.45">
      <c r="A82" t="s">
        <v>19</v>
      </c>
      <c r="B82">
        <v>207.75</v>
      </c>
      <c r="C82">
        <v>88</v>
      </c>
      <c r="D82">
        <v>8.1000000000000014</v>
      </c>
      <c r="E82">
        <v>207.75</v>
      </c>
      <c r="F82">
        <v>92</v>
      </c>
      <c r="G82">
        <v>8.1000000000000014</v>
      </c>
      <c r="H82">
        <v>3.75</v>
      </c>
      <c r="I82">
        <v>3.42</v>
      </c>
      <c r="J82">
        <v>4.0823242903071197E-2</v>
      </c>
      <c r="K82">
        <v>500</v>
      </c>
      <c r="L82">
        <v>0</v>
      </c>
      <c r="N82">
        <v>50</v>
      </c>
      <c r="O82" s="48" t="s">
        <v>1010</v>
      </c>
      <c r="P82" t="s">
        <v>957</v>
      </c>
      <c r="Q82" t="s">
        <v>816</v>
      </c>
    </row>
    <row r="83" spans="1:17" x14ac:dyDescent="0.45">
      <c r="A83" t="s">
        <v>19</v>
      </c>
      <c r="B83">
        <v>207.75</v>
      </c>
      <c r="C83">
        <v>92</v>
      </c>
      <c r="D83">
        <v>8.1000000000000014</v>
      </c>
      <c r="E83">
        <v>175</v>
      </c>
      <c r="F83">
        <v>92</v>
      </c>
      <c r="G83">
        <v>8.1000000000000014</v>
      </c>
      <c r="H83">
        <v>3.75</v>
      </c>
      <c r="I83">
        <v>3.42</v>
      </c>
      <c r="J83">
        <v>0.33424030126889542</v>
      </c>
      <c r="K83">
        <v>500</v>
      </c>
      <c r="L83">
        <v>0</v>
      </c>
      <c r="N83">
        <v>50</v>
      </c>
      <c r="O83" s="48" t="s">
        <v>1011</v>
      </c>
      <c r="P83" t="s">
        <v>1012</v>
      </c>
      <c r="Q83" t="s">
        <v>969</v>
      </c>
    </row>
    <row r="84" spans="1:17" x14ac:dyDescent="0.45">
      <c r="A84" t="s">
        <v>19</v>
      </c>
      <c r="B84">
        <v>175</v>
      </c>
      <c r="C84">
        <v>92</v>
      </c>
      <c r="D84">
        <v>8.1000000000000014</v>
      </c>
      <c r="E84">
        <v>175</v>
      </c>
      <c r="F84">
        <v>96</v>
      </c>
      <c r="G84">
        <v>8.1000000000000014</v>
      </c>
      <c r="H84">
        <v>3.75</v>
      </c>
      <c r="I84">
        <v>3.42</v>
      </c>
      <c r="J84">
        <v>4.0823242903071197E-2</v>
      </c>
      <c r="K84">
        <v>500</v>
      </c>
      <c r="L84">
        <v>0</v>
      </c>
      <c r="N84">
        <v>50</v>
      </c>
      <c r="O84" s="48" t="s">
        <v>1013</v>
      </c>
      <c r="P84" t="s">
        <v>1014</v>
      </c>
      <c r="Q84" t="s">
        <v>814</v>
      </c>
    </row>
    <row r="85" spans="1:17" x14ac:dyDescent="0.45">
      <c r="A85" t="s">
        <v>39</v>
      </c>
      <c r="B85">
        <v>0</v>
      </c>
      <c r="C85">
        <v>0</v>
      </c>
      <c r="N85">
        <v>51</v>
      </c>
      <c r="O85" s="48" t="s">
        <v>934</v>
      </c>
      <c r="P85" t="s">
        <v>918</v>
      </c>
      <c r="Q85" t="s">
        <v>806</v>
      </c>
    </row>
    <row r="86" spans="1:17" x14ac:dyDescent="0.45">
      <c r="A86" t="s">
        <v>807</v>
      </c>
      <c r="B86">
        <v>2.7</v>
      </c>
      <c r="C86">
        <v>6000</v>
      </c>
      <c r="N86">
        <v>51</v>
      </c>
      <c r="O86" s="48" t="s">
        <v>934</v>
      </c>
      <c r="P86" t="s">
        <v>918</v>
      </c>
      <c r="Q86" t="s">
        <v>831</v>
      </c>
    </row>
    <row r="87" spans="1:17" x14ac:dyDescent="0.45">
      <c r="A87" t="s">
        <v>23</v>
      </c>
      <c r="B87">
        <v>175</v>
      </c>
      <c r="C87">
        <v>96</v>
      </c>
      <c r="D87">
        <v>8.1000000000000014</v>
      </c>
      <c r="E87">
        <v>175</v>
      </c>
      <c r="F87">
        <v>96</v>
      </c>
      <c r="G87">
        <v>10.8</v>
      </c>
      <c r="H87">
        <v>0</v>
      </c>
      <c r="I87">
        <v>0</v>
      </c>
      <c r="K87">
        <v>3000</v>
      </c>
      <c r="N87">
        <v>0</v>
      </c>
      <c r="O87" s="48">
        <v>0</v>
      </c>
      <c r="P87" t="s">
        <v>659</v>
      </c>
      <c r="Q87" t="s">
        <v>832</v>
      </c>
    </row>
    <row r="88" spans="1:17" x14ac:dyDescent="0.45">
      <c r="A88" t="s">
        <v>23</v>
      </c>
      <c r="B88">
        <v>175</v>
      </c>
      <c r="C88">
        <v>96</v>
      </c>
      <c r="D88">
        <v>10.8</v>
      </c>
      <c r="E88">
        <v>171</v>
      </c>
      <c r="F88">
        <v>96</v>
      </c>
      <c r="G88">
        <v>10.8</v>
      </c>
      <c r="H88">
        <v>0</v>
      </c>
      <c r="I88">
        <v>0</v>
      </c>
      <c r="J88">
        <v>0</v>
      </c>
      <c r="K88">
        <v>3000</v>
      </c>
      <c r="L88">
        <v>0</v>
      </c>
      <c r="N88">
        <v>52</v>
      </c>
      <c r="O88" s="48" t="s">
        <v>1015</v>
      </c>
      <c r="P88" t="s">
        <v>932</v>
      </c>
      <c r="Q88" t="s">
        <v>899</v>
      </c>
    </row>
    <row r="89" spans="1:17" x14ac:dyDescent="0.45">
      <c r="A89" t="s">
        <v>23</v>
      </c>
      <c r="B89">
        <v>171</v>
      </c>
      <c r="C89">
        <v>96</v>
      </c>
      <c r="D89">
        <v>10.8</v>
      </c>
      <c r="E89">
        <v>171</v>
      </c>
      <c r="F89">
        <v>104</v>
      </c>
      <c r="G89">
        <v>10.8</v>
      </c>
      <c r="H89">
        <v>0</v>
      </c>
      <c r="I89">
        <v>0</v>
      </c>
      <c r="J89">
        <v>0</v>
      </c>
      <c r="K89">
        <v>3000</v>
      </c>
      <c r="L89">
        <v>0</v>
      </c>
      <c r="N89">
        <v>53</v>
      </c>
      <c r="O89" s="48" t="s">
        <v>936</v>
      </c>
      <c r="P89" t="s">
        <v>933</v>
      </c>
      <c r="Q89" t="s">
        <v>971</v>
      </c>
    </row>
    <row r="90" spans="1:17" x14ac:dyDescent="0.45">
      <c r="A90" t="s">
        <v>23</v>
      </c>
      <c r="B90">
        <v>171</v>
      </c>
      <c r="C90">
        <v>104</v>
      </c>
      <c r="D90">
        <v>10.8</v>
      </c>
      <c r="E90">
        <v>275</v>
      </c>
      <c r="F90">
        <v>104</v>
      </c>
      <c r="G90">
        <v>10.8</v>
      </c>
      <c r="H90">
        <v>0</v>
      </c>
      <c r="I90">
        <v>0</v>
      </c>
      <c r="J90">
        <v>0</v>
      </c>
      <c r="K90">
        <v>3000</v>
      </c>
      <c r="L90">
        <v>0</v>
      </c>
      <c r="N90">
        <v>54</v>
      </c>
      <c r="O90" s="48" t="s">
        <v>938</v>
      </c>
      <c r="P90" t="s">
        <v>935</v>
      </c>
      <c r="Q90" t="s">
        <v>974</v>
      </c>
    </row>
    <row r="91" spans="1:17" x14ac:dyDescent="0.45">
      <c r="A91" t="s">
        <v>39</v>
      </c>
      <c r="B91">
        <v>0.3</v>
      </c>
      <c r="C91">
        <v>5000</v>
      </c>
      <c r="N91">
        <v>55</v>
      </c>
      <c r="O91" s="48" t="s">
        <v>940</v>
      </c>
      <c r="P91" t="s">
        <v>926</v>
      </c>
      <c r="Q91" t="s">
        <v>906</v>
      </c>
    </row>
    <row r="92" spans="1:17" x14ac:dyDescent="0.45">
      <c r="A92" t="s">
        <v>23</v>
      </c>
      <c r="B92">
        <v>275</v>
      </c>
      <c r="C92">
        <v>104</v>
      </c>
      <c r="D92">
        <v>10.8</v>
      </c>
      <c r="E92">
        <v>275</v>
      </c>
      <c r="F92">
        <v>100</v>
      </c>
      <c r="G92">
        <v>10.8</v>
      </c>
      <c r="H92">
        <v>0</v>
      </c>
      <c r="I92">
        <v>0</v>
      </c>
      <c r="J92">
        <v>0</v>
      </c>
      <c r="K92">
        <v>3000</v>
      </c>
      <c r="L92">
        <v>0</v>
      </c>
      <c r="N92">
        <v>56</v>
      </c>
      <c r="O92" s="48" t="s">
        <v>942</v>
      </c>
      <c r="P92" t="s">
        <v>939</v>
      </c>
      <c r="Q92" t="s">
        <v>973</v>
      </c>
    </row>
    <row r="93" spans="1:17" x14ac:dyDescent="0.45">
      <c r="A93" t="s">
        <v>19</v>
      </c>
      <c r="B93">
        <v>275</v>
      </c>
      <c r="C93">
        <v>100</v>
      </c>
      <c r="D93">
        <v>10.8</v>
      </c>
      <c r="E93">
        <v>175</v>
      </c>
      <c r="F93">
        <v>100</v>
      </c>
      <c r="G93">
        <v>10.8</v>
      </c>
      <c r="H93">
        <v>3.75</v>
      </c>
      <c r="I93">
        <v>3.42</v>
      </c>
      <c r="J93">
        <v>1.0205810725767799</v>
      </c>
      <c r="K93">
        <v>500</v>
      </c>
      <c r="L93">
        <v>0</v>
      </c>
      <c r="N93">
        <v>57</v>
      </c>
      <c r="O93" s="48" t="s">
        <v>944</v>
      </c>
      <c r="P93" t="s">
        <v>941</v>
      </c>
      <c r="Q93" t="s">
        <v>828</v>
      </c>
    </row>
    <row r="94" spans="1:17" x14ac:dyDescent="0.45">
      <c r="A94" t="s">
        <v>19</v>
      </c>
      <c r="B94">
        <v>175</v>
      </c>
      <c r="C94">
        <v>100</v>
      </c>
      <c r="D94">
        <v>10.8</v>
      </c>
      <c r="E94">
        <v>175</v>
      </c>
      <c r="F94">
        <v>96</v>
      </c>
      <c r="G94">
        <v>10.8</v>
      </c>
      <c r="H94">
        <v>3.75</v>
      </c>
      <c r="I94">
        <v>3.42</v>
      </c>
      <c r="J94">
        <v>4.0823242903071197E-2</v>
      </c>
      <c r="K94">
        <v>500</v>
      </c>
      <c r="L94">
        <v>0</v>
      </c>
      <c r="N94">
        <v>58</v>
      </c>
      <c r="O94" s="48" t="s">
        <v>1016</v>
      </c>
      <c r="P94" t="s">
        <v>943</v>
      </c>
      <c r="Q94" t="s">
        <v>814</v>
      </c>
    </row>
    <row r="95" spans="1:17" x14ac:dyDescent="0.45">
      <c r="A95" t="s">
        <v>19</v>
      </c>
      <c r="B95">
        <v>175</v>
      </c>
      <c r="C95">
        <v>96</v>
      </c>
      <c r="D95">
        <v>10.8</v>
      </c>
      <c r="E95">
        <v>275</v>
      </c>
      <c r="F95">
        <v>96</v>
      </c>
      <c r="G95">
        <v>10.8</v>
      </c>
      <c r="H95">
        <v>3.75</v>
      </c>
      <c r="I95">
        <v>3.42</v>
      </c>
      <c r="J95">
        <v>1.0205810725767799</v>
      </c>
      <c r="K95">
        <v>500</v>
      </c>
      <c r="L95">
        <v>0</v>
      </c>
      <c r="N95">
        <v>59</v>
      </c>
      <c r="O95" s="48" t="s">
        <v>946</v>
      </c>
      <c r="P95" t="s">
        <v>945</v>
      </c>
      <c r="Q95" t="s">
        <v>815</v>
      </c>
    </row>
    <row r="96" spans="1:17" x14ac:dyDescent="0.45">
      <c r="A96" t="s">
        <v>19</v>
      </c>
      <c r="B96">
        <v>275</v>
      </c>
      <c r="C96">
        <v>96</v>
      </c>
      <c r="D96">
        <v>10.8</v>
      </c>
      <c r="E96">
        <v>275</v>
      </c>
      <c r="F96">
        <v>92</v>
      </c>
      <c r="G96">
        <v>10.8</v>
      </c>
      <c r="H96">
        <v>3.75</v>
      </c>
      <c r="I96">
        <v>3.42</v>
      </c>
      <c r="J96">
        <v>4.0823242903071197E-2</v>
      </c>
      <c r="K96">
        <v>500</v>
      </c>
      <c r="L96">
        <v>0</v>
      </c>
      <c r="N96">
        <v>60</v>
      </c>
      <c r="O96" s="48" t="s">
        <v>1017</v>
      </c>
      <c r="P96" t="s">
        <v>948</v>
      </c>
      <c r="Q96" t="s">
        <v>816</v>
      </c>
    </row>
    <row r="97" spans="1:17" x14ac:dyDescent="0.45">
      <c r="A97" t="s">
        <v>19</v>
      </c>
      <c r="B97">
        <v>275</v>
      </c>
      <c r="C97">
        <v>92</v>
      </c>
      <c r="D97">
        <v>10.8</v>
      </c>
      <c r="E97">
        <v>175</v>
      </c>
      <c r="F97">
        <v>92</v>
      </c>
      <c r="G97">
        <v>10.8</v>
      </c>
      <c r="H97">
        <v>3.75</v>
      </c>
      <c r="I97">
        <v>3.42</v>
      </c>
      <c r="J97">
        <v>1.0205810725767799</v>
      </c>
      <c r="K97">
        <v>500</v>
      </c>
      <c r="L97">
        <v>0</v>
      </c>
      <c r="N97">
        <v>61</v>
      </c>
      <c r="O97" s="48" t="s">
        <v>1018</v>
      </c>
      <c r="P97" t="s">
        <v>951</v>
      </c>
      <c r="Q97" t="s">
        <v>813</v>
      </c>
    </row>
    <row r="98" spans="1:17" x14ac:dyDescent="0.45">
      <c r="A98" t="s">
        <v>19</v>
      </c>
      <c r="B98">
        <v>175</v>
      </c>
      <c r="C98">
        <v>92</v>
      </c>
      <c r="D98">
        <v>10.8</v>
      </c>
      <c r="E98">
        <v>175</v>
      </c>
      <c r="F98">
        <v>88</v>
      </c>
      <c r="G98">
        <v>10.8</v>
      </c>
      <c r="H98">
        <v>3.75</v>
      </c>
      <c r="I98">
        <v>3.42</v>
      </c>
      <c r="J98">
        <v>4.0823242903071197E-2</v>
      </c>
      <c r="K98">
        <v>500</v>
      </c>
      <c r="L98">
        <v>0</v>
      </c>
      <c r="N98">
        <v>61</v>
      </c>
      <c r="O98" s="48" t="s">
        <v>1019</v>
      </c>
      <c r="P98" t="s">
        <v>958</v>
      </c>
      <c r="Q98" t="s">
        <v>817</v>
      </c>
    </row>
    <row r="99" spans="1:17" x14ac:dyDescent="0.45">
      <c r="A99" t="s">
        <v>19</v>
      </c>
      <c r="B99">
        <v>175</v>
      </c>
      <c r="C99">
        <v>88</v>
      </c>
      <c r="D99">
        <v>10.8</v>
      </c>
      <c r="E99">
        <v>275</v>
      </c>
      <c r="F99">
        <v>88</v>
      </c>
      <c r="G99">
        <v>10.8</v>
      </c>
      <c r="H99">
        <v>3.75</v>
      </c>
      <c r="I99">
        <v>3.42</v>
      </c>
      <c r="J99">
        <v>1.0205810725767799</v>
      </c>
      <c r="K99">
        <v>500</v>
      </c>
      <c r="L99">
        <v>0</v>
      </c>
      <c r="N99">
        <v>61</v>
      </c>
      <c r="O99" s="48" t="s">
        <v>1020</v>
      </c>
      <c r="P99" t="s">
        <v>959</v>
      </c>
      <c r="Q99" t="s">
        <v>815</v>
      </c>
    </row>
    <row r="100" spans="1:17" x14ac:dyDescent="0.45">
      <c r="A100" t="s">
        <v>19</v>
      </c>
      <c r="B100">
        <v>275</v>
      </c>
      <c r="C100">
        <v>88</v>
      </c>
      <c r="D100">
        <v>10.8</v>
      </c>
      <c r="E100">
        <v>275</v>
      </c>
      <c r="F100">
        <v>84</v>
      </c>
      <c r="G100">
        <v>10.8</v>
      </c>
      <c r="H100">
        <v>3.75</v>
      </c>
      <c r="I100">
        <v>3.42</v>
      </c>
      <c r="J100">
        <v>4.0823242903071197E-2</v>
      </c>
      <c r="K100">
        <v>500</v>
      </c>
      <c r="L100">
        <v>0</v>
      </c>
      <c r="N100">
        <v>61</v>
      </c>
      <c r="O100" s="48" t="s">
        <v>1021</v>
      </c>
      <c r="P100" t="s">
        <v>968</v>
      </c>
      <c r="Q100" t="s">
        <v>818</v>
      </c>
    </row>
    <row r="101" spans="1:17" x14ac:dyDescent="0.45">
      <c r="A101" t="s">
        <v>19</v>
      </c>
      <c r="B101">
        <v>275</v>
      </c>
      <c r="C101">
        <v>84</v>
      </c>
      <c r="D101">
        <v>10.8</v>
      </c>
      <c r="E101">
        <v>175</v>
      </c>
      <c r="F101">
        <v>84</v>
      </c>
      <c r="G101">
        <v>10.8</v>
      </c>
      <c r="H101">
        <v>3.75</v>
      </c>
      <c r="I101">
        <v>3.42</v>
      </c>
      <c r="J101">
        <v>1.0205810725767799</v>
      </c>
      <c r="K101">
        <v>500</v>
      </c>
      <c r="L101">
        <v>0</v>
      </c>
      <c r="N101">
        <v>61</v>
      </c>
      <c r="O101" s="48" t="s">
        <v>1022</v>
      </c>
      <c r="P101" t="s">
        <v>951</v>
      </c>
      <c r="Q101" t="s">
        <v>813</v>
      </c>
    </row>
    <row r="102" spans="1:17" x14ac:dyDescent="0.45">
      <c r="A102" t="s">
        <v>19</v>
      </c>
      <c r="B102">
        <v>175</v>
      </c>
      <c r="C102">
        <v>84</v>
      </c>
      <c r="D102">
        <v>10.8</v>
      </c>
      <c r="E102">
        <v>175</v>
      </c>
      <c r="F102">
        <v>80</v>
      </c>
      <c r="G102">
        <v>10.8</v>
      </c>
      <c r="H102">
        <v>3.75</v>
      </c>
      <c r="I102">
        <v>3.42</v>
      </c>
      <c r="J102">
        <v>4.0823242903071197E-2</v>
      </c>
      <c r="K102">
        <v>500</v>
      </c>
      <c r="L102">
        <v>0</v>
      </c>
      <c r="N102">
        <v>61</v>
      </c>
      <c r="O102" s="48" t="s">
        <v>1023</v>
      </c>
      <c r="P102" t="s">
        <v>958</v>
      </c>
      <c r="Q102" t="s">
        <v>819</v>
      </c>
    </row>
    <row r="103" spans="1:17" x14ac:dyDescent="0.45">
      <c r="A103" t="s">
        <v>19</v>
      </c>
      <c r="B103">
        <v>175</v>
      </c>
      <c r="C103">
        <v>80</v>
      </c>
      <c r="D103">
        <v>10.8</v>
      </c>
      <c r="E103">
        <v>275</v>
      </c>
      <c r="F103">
        <v>80</v>
      </c>
      <c r="G103">
        <v>10.8</v>
      </c>
      <c r="H103">
        <v>3.75</v>
      </c>
      <c r="I103">
        <v>3.42</v>
      </c>
      <c r="J103">
        <v>1.0205810725767799</v>
      </c>
      <c r="K103">
        <v>500</v>
      </c>
      <c r="L103">
        <v>0</v>
      </c>
      <c r="N103">
        <v>61</v>
      </c>
      <c r="O103" s="48" t="s">
        <v>1024</v>
      </c>
      <c r="P103" t="s">
        <v>959</v>
      </c>
      <c r="Q103" t="s">
        <v>815</v>
      </c>
    </row>
    <row r="104" spans="1:17" x14ac:dyDescent="0.45">
      <c r="A104" t="s">
        <v>19</v>
      </c>
      <c r="B104">
        <v>275</v>
      </c>
      <c r="C104">
        <v>80</v>
      </c>
      <c r="D104">
        <v>10.8</v>
      </c>
      <c r="E104">
        <v>275</v>
      </c>
      <c r="F104">
        <v>76</v>
      </c>
      <c r="G104">
        <v>10.8</v>
      </c>
      <c r="H104">
        <v>3.75</v>
      </c>
      <c r="I104">
        <v>3.42</v>
      </c>
      <c r="J104">
        <v>4.0823242903071197E-2</v>
      </c>
      <c r="K104">
        <v>500</v>
      </c>
      <c r="L104">
        <v>0</v>
      </c>
      <c r="N104">
        <v>61</v>
      </c>
      <c r="O104" s="48" t="s">
        <v>1025</v>
      </c>
      <c r="P104" t="s">
        <v>968</v>
      </c>
      <c r="Q104" t="s">
        <v>820</v>
      </c>
    </row>
    <row r="105" spans="1:17" x14ac:dyDescent="0.45">
      <c r="A105" t="s">
        <v>19</v>
      </c>
      <c r="B105">
        <v>275</v>
      </c>
      <c r="C105">
        <v>76</v>
      </c>
      <c r="D105">
        <v>10.8</v>
      </c>
      <c r="E105">
        <v>175</v>
      </c>
      <c r="F105">
        <v>76</v>
      </c>
      <c r="G105">
        <v>10.8</v>
      </c>
      <c r="H105">
        <v>3.75</v>
      </c>
      <c r="I105">
        <v>3.42</v>
      </c>
      <c r="J105">
        <v>1.0205810725767799</v>
      </c>
      <c r="K105">
        <v>500</v>
      </c>
      <c r="L105">
        <v>0</v>
      </c>
      <c r="N105">
        <v>61</v>
      </c>
      <c r="O105" s="48" t="s">
        <v>1026</v>
      </c>
      <c r="P105" t="s">
        <v>951</v>
      </c>
      <c r="Q105" t="s">
        <v>813</v>
      </c>
    </row>
    <row r="106" spans="1:17" x14ac:dyDescent="0.45">
      <c r="A106" t="s">
        <v>19</v>
      </c>
      <c r="B106">
        <v>175</v>
      </c>
      <c r="C106">
        <v>76</v>
      </c>
      <c r="D106">
        <v>10.8</v>
      </c>
      <c r="E106">
        <v>175</v>
      </c>
      <c r="F106">
        <v>72</v>
      </c>
      <c r="G106">
        <v>10.8</v>
      </c>
      <c r="H106">
        <v>3.75</v>
      </c>
      <c r="I106">
        <v>3.42</v>
      </c>
      <c r="J106">
        <v>4.0823242903071197E-2</v>
      </c>
      <c r="K106">
        <v>500</v>
      </c>
      <c r="L106">
        <v>0</v>
      </c>
      <c r="N106">
        <v>61</v>
      </c>
      <c r="O106" s="48" t="s">
        <v>1027</v>
      </c>
      <c r="P106" t="s">
        <v>958</v>
      </c>
      <c r="Q106" t="s">
        <v>821</v>
      </c>
    </row>
    <row r="107" spans="1:17" x14ac:dyDescent="0.45">
      <c r="A107" t="s">
        <v>19</v>
      </c>
      <c r="B107">
        <v>175</v>
      </c>
      <c r="C107">
        <v>72</v>
      </c>
      <c r="D107">
        <v>10.8</v>
      </c>
      <c r="E107">
        <v>275</v>
      </c>
      <c r="F107">
        <v>72</v>
      </c>
      <c r="G107">
        <v>10.8</v>
      </c>
      <c r="H107">
        <v>3.75</v>
      </c>
      <c r="I107">
        <v>3.42</v>
      </c>
      <c r="J107">
        <v>1.0205810725767799</v>
      </c>
      <c r="K107">
        <v>500</v>
      </c>
      <c r="L107">
        <v>0</v>
      </c>
      <c r="N107">
        <v>61</v>
      </c>
      <c r="O107" s="48" t="s">
        <v>1028</v>
      </c>
      <c r="P107" t="s">
        <v>959</v>
      </c>
      <c r="Q107" t="s">
        <v>815</v>
      </c>
    </row>
    <row r="108" spans="1:17" x14ac:dyDescent="0.45">
      <c r="A108" t="s">
        <v>19</v>
      </c>
      <c r="B108">
        <v>275</v>
      </c>
      <c r="C108">
        <v>72</v>
      </c>
      <c r="D108">
        <v>10.8</v>
      </c>
      <c r="E108">
        <v>275</v>
      </c>
      <c r="F108">
        <v>68</v>
      </c>
      <c r="G108">
        <v>10.8</v>
      </c>
      <c r="H108">
        <v>3.75</v>
      </c>
      <c r="I108">
        <v>3.42</v>
      </c>
      <c r="J108">
        <v>4.0823242903071197E-2</v>
      </c>
      <c r="K108">
        <v>500</v>
      </c>
      <c r="L108">
        <v>0</v>
      </c>
      <c r="N108">
        <v>61</v>
      </c>
      <c r="O108" s="48" t="s">
        <v>1029</v>
      </c>
      <c r="P108" t="s">
        <v>968</v>
      </c>
      <c r="Q108" t="s">
        <v>822</v>
      </c>
    </row>
    <row r="109" spans="1:17" x14ac:dyDescent="0.45">
      <c r="A109" t="s">
        <v>39</v>
      </c>
      <c r="B109">
        <v>0</v>
      </c>
      <c r="C109">
        <v>0</v>
      </c>
      <c r="N109">
        <v>62</v>
      </c>
      <c r="O109" s="48" t="s">
        <v>949</v>
      </c>
      <c r="P109" t="s">
        <v>937</v>
      </c>
      <c r="Q109" t="s">
        <v>806</v>
      </c>
    </row>
    <row r="110" spans="1:17" x14ac:dyDescent="0.45">
      <c r="A110" t="s">
        <v>807</v>
      </c>
      <c r="B110">
        <v>2.7</v>
      </c>
      <c r="C110">
        <v>6000</v>
      </c>
      <c r="N110">
        <v>62</v>
      </c>
      <c r="O110" s="48" t="s">
        <v>949</v>
      </c>
      <c r="P110" t="s">
        <v>937</v>
      </c>
      <c r="Q110" t="s">
        <v>833</v>
      </c>
    </row>
    <row r="111" spans="1:17" x14ac:dyDescent="0.45">
      <c r="A111" t="s">
        <v>23</v>
      </c>
      <c r="B111">
        <v>275</v>
      </c>
      <c r="C111">
        <v>68</v>
      </c>
      <c r="D111">
        <v>10.8</v>
      </c>
      <c r="E111">
        <v>275</v>
      </c>
      <c r="F111">
        <v>68</v>
      </c>
      <c r="G111">
        <v>13.5</v>
      </c>
      <c r="H111">
        <v>0</v>
      </c>
      <c r="I111">
        <v>0</v>
      </c>
      <c r="K111">
        <v>3000</v>
      </c>
      <c r="N111">
        <v>0</v>
      </c>
      <c r="O111" s="48">
        <v>0</v>
      </c>
      <c r="P111" t="s">
        <v>659</v>
      </c>
      <c r="Q111" t="s">
        <v>834</v>
      </c>
    </row>
    <row r="112" spans="1:17" x14ac:dyDescent="0.45">
      <c r="A112" t="s">
        <v>19</v>
      </c>
      <c r="B112">
        <v>275</v>
      </c>
      <c r="C112">
        <v>68</v>
      </c>
      <c r="D112">
        <v>13.5</v>
      </c>
      <c r="E112">
        <v>275</v>
      </c>
      <c r="F112">
        <v>72</v>
      </c>
      <c r="G112">
        <v>13.5</v>
      </c>
      <c r="H112">
        <v>3.75</v>
      </c>
      <c r="I112">
        <v>3.42</v>
      </c>
      <c r="J112">
        <v>4.0823242903071197E-2</v>
      </c>
      <c r="K112">
        <v>500</v>
      </c>
      <c r="L112">
        <v>0</v>
      </c>
      <c r="N112">
        <v>63</v>
      </c>
      <c r="O112" s="48" t="s">
        <v>1030</v>
      </c>
      <c r="P112" t="s">
        <v>950</v>
      </c>
      <c r="Q112" t="s">
        <v>823</v>
      </c>
    </row>
    <row r="113" spans="1:17" x14ac:dyDescent="0.45">
      <c r="A113" t="s">
        <v>19</v>
      </c>
      <c r="B113">
        <v>275</v>
      </c>
      <c r="C113">
        <v>72</v>
      </c>
      <c r="D113">
        <v>13.5</v>
      </c>
      <c r="E113">
        <v>175</v>
      </c>
      <c r="F113">
        <v>72</v>
      </c>
      <c r="G113">
        <v>13.5</v>
      </c>
      <c r="H113">
        <v>3.75</v>
      </c>
      <c r="I113">
        <v>3.42</v>
      </c>
      <c r="J113">
        <v>1.0205810725767799</v>
      </c>
      <c r="K113">
        <v>500</v>
      </c>
      <c r="L113">
        <v>0</v>
      </c>
      <c r="N113">
        <v>64</v>
      </c>
      <c r="O113" s="48" t="s">
        <v>1031</v>
      </c>
      <c r="P113" t="s">
        <v>953</v>
      </c>
      <c r="Q113" t="s">
        <v>813</v>
      </c>
    </row>
    <row r="114" spans="1:17" x14ac:dyDescent="0.45">
      <c r="A114" t="s">
        <v>19</v>
      </c>
      <c r="B114">
        <v>175</v>
      </c>
      <c r="C114">
        <v>72</v>
      </c>
      <c r="D114">
        <v>13.5</v>
      </c>
      <c r="E114">
        <v>175</v>
      </c>
      <c r="F114">
        <v>76</v>
      </c>
      <c r="G114">
        <v>13.5</v>
      </c>
      <c r="H114">
        <v>3.75</v>
      </c>
      <c r="I114">
        <v>3.42</v>
      </c>
      <c r="J114">
        <v>4.0823242903071197E-2</v>
      </c>
      <c r="K114">
        <v>500</v>
      </c>
      <c r="L114">
        <v>0</v>
      </c>
      <c r="N114">
        <v>65</v>
      </c>
      <c r="O114" s="48" t="s">
        <v>1032</v>
      </c>
      <c r="P114" t="s">
        <v>954</v>
      </c>
      <c r="Q114" t="s">
        <v>820</v>
      </c>
    </row>
    <row r="115" spans="1:17" x14ac:dyDescent="0.45">
      <c r="A115" t="s">
        <v>19</v>
      </c>
      <c r="B115">
        <v>175</v>
      </c>
      <c r="C115">
        <v>76</v>
      </c>
      <c r="D115">
        <v>13.5</v>
      </c>
      <c r="E115">
        <v>275</v>
      </c>
      <c r="F115">
        <v>76</v>
      </c>
      <c r="G115">
        <v>13.5</v>
      </c>
      <c r="H115">
        <v>3.75</v>
      </c>
      <c r="I115">
        <v>3.42</v>
      </c>
      <c r="J115">
        <v>1.0205810725767799</v>
      </c>
      <c r="K115">
        <v>500</v>
      </c>
      <c r="L115">
        <v>0</v>
      </c>
      <c r="N115">
        <v>66</v>
      </c>
      <c r="O115" s="48" t="s">
        <v>1033</v>
      </c>
      <c r="P115" t="s">
        <v>960</v>
      </c>
      <c r="Q115" t="s">
        <v>815</v>
      </c>
    </row>
    <row r="116" spans="1:17" x14ac:dyDescent="0.45">
      <c r="A116" t="s">
        <v>19</v>
      </c>
      <c r="B116">
        <v>275</v>
      </c>
      <c r="C116">
        <v>76</v>
      </c>
      <c r="D116">
        <v>13.5</v>
      </c>
      <c r="E116">
        <v>275</v>
      </c>
      <c r="F116">
        <v>80</v>
      </c>
      <c r="G116">
        <v>13.5</v>
      </c>
      <c r="H116">
        <v>3.75</v>
      </c>
      <c r="I116">
        <v>3.42</v>
      </c>
      <c r="J116">
        <v>4.0823242903071197E-2</v>
      </c>
      <c r="K116">
        <v>500</v>
      </c>
      <c r="L116">
        <v>0</v>
      </c>
      <c r="N116">
        <v>67</v>
      </c>
      <c r="O116" s="48" t="s">
        <v>1034</v>
      </c>
      <c r="P116" t="s">
        <v>952</v>
      </c>
      <c r="Q116" t="s">
        <v>819</v>
      </c>
    </row>
    <row r="117" spans="1:17" x14ac:dyDescent="0.45">
      <c r="A117" t="s">
        <v>19</v>
      </c>
      <c r="B117">
        <v>275</v>
      </c>
      <c r="C117">
        <v>80</v>
      </c>
      <c r="D117">
        <v>13.5</v>
      </c>
      <c r="E117">
        <v>175</v>
      </c>
      <c r="F117">
        <v>80</v>
      </c>
      <c r="G117">
        <v>13.5</v>
      </c>
      <c r="H117">
        <v>3.75</v>
      </c>
      <c r="I117">
        <v>3.42</v>
      </c>
      <c r="J117">
        <v>1.0205810725767799</v>
      </c>
      <c r="K117">
        <v>500</v>
      </c>
      <c r="L117">
        <v>0</v>
      </c>
      <c r="N117">
        <v>67</v>
      </c>
      <c r="O117" s="48" t="s">
        <v>1035</v>
      </c>
      <c r="P117" t="s">
        <v>961</v>
      </c>
      <c r="Q117" t="s">
        <v>813</v>
      </c>
    </row>
    <row r="118" spans="1:17" x14ac:dyDescent="0.45">
      <c r="A118" t="s">
        <v>19</v>
      </c>
      <c r="B118">
        <v>175</v>
      </c>
      <c r="C118">
        <v>80</v>
      </c>
      <c r="D118">
        <v>13.5</v>
      </c>
      <c r="E118">
        <v>175</v>
      </c>
      <c r="F118">
        <v>84</v>
      </c>
      <c r="G118">
        <v>13.5</v>
      </c>
      <c r="H118">
        <v>3.75</v>
      </c>
      <c r="I118">
        <v>3.42</v>
      </c>
      <c r="J118">
        <v>4.0823242903071197E-2</v>
      </c>
      <c r="K118">
        <v>500</v>
      </c>
      <c r="L118">
        <v>0</v>
      </c>
      <c r="N118">
        <v>67</v>
      </c>
      <c r="O118" s="48" t="s">
        <v>1036</v>
      </c>
      <c r="P118" t="s">
        <v>962</v>
      </c>
      <c r="Q118" t="s">
        <v>818</v>
      </c>
    </row>
    <row r="119" spans="1:17" x14ac:dyDescent="0.45">
      <c r="A119" t="s">
        <v>19</v>
      </c>
      <c r="B119">
        <v>175</v>
      </c>
      <c r="C119">
        <v>84</v>
      </c>
      <c r="D119">
        <v>13.5</v>
      </c>
      <c r="E119">
        <v>275</v>
      </c>
      <c r="F119">
        <v>84</v>
      </c>
      <c r="G119">
        <v>13.5</v>
      </c>
      <c r="H119">
        <v>3.75</v>
      </c>
      <c r="I119">
        <v>3.42</v>
      </c>
      <c r="J119">
        <v>1.0205810725767799</v>
      </c>
      <c r="K119">
        <v>500</v>
      </c>
      <c r="L119">
        <v>0</v>
      </c>
      <c r="N119">
        <v>67</v>
      </c>
      <c r="O119" s="48" t="s">
        <v>1037</v>
      </c>
      <c r="P119" t="s">
        <v>963</v>
      </c>
      <c r="Q119" t="s">
        <v>815</v>
      </c>
    </row>
    <row r="120" spans="1:17" x14ac:dyDescent="0.45">
      <c r="A120" t="s">
        <v>19</v>
      </c>
      <c r="B120">
        <v>275</v>
      </c>
      <c r="C120">
        <v>84</v>
      </c>
      <c r="D120">
        <v>13.5</v>
      </c>
      <c r="E120">
        <v>275</v>
      </c>
      <c r="F120">
        <v>88</v>
      </c>
      <c r="G120">
        <v>13.5</v>
      </c>
      <c r="H120">
        <v>3.75</v>
      </c>
      <c r="I120">
        <v>3.42</v>
      </c>
      <c r="J120">
        <v>4.0823242903071197E-2</v>
      </c>
      <c r="K120">
        <v>500</v>
      </c>
      <c r="L120">
        <v>0</v>
      </c>
      <c r="N120">
        <v>67</v>
      </c>
      <c r="O120" s="48" t="s">
        <v>1038</v>
      </c>
      <c r="P120" t="s">
        <v>952</v>
      </c>
      <c r="Q120" t="s">
        <v>817</v>
      </c>
    </row>
    <row r="121" spans="1:17" x14ac:dyDescent="0.45">
      <c r="A121" t="s">
        <v>19</v>
      </c>
      <c r="B121">
        <v>275</v>
      </c>
      <c r="C121">
        <v>88</v>
      </c>
      <c r="D121">
        <v>13.5</v>
      </c>
      <c r="E121">
        <v>175</v>
      </c>
      <c r="F121">
        <v>88</v>
      </c>
      <c r="G121">
        <v>13.5</v>
      </c>
      <c r="H121">
        <v>3.75</v>
      </c>
      <c r="I121">
        <v>3.42</v>
      </c>
      <c r="J121">
        <v>1.0205810725767799</v>
      </c>
      <c r="K121">
        <v>500</v>
      </c>
      <c r="L121">
        <v>0</v>
      </c>
      <c r="N121">
        <v>67</v>
      </c>
      <c r="O121" s="48" t="s">
        <v>1039</v>
      </c>
      <c r="P121" t="s">
        <v>961</v>
      </c>
      <c r="Q121" t="s">
        <v>813</v>
      </c>
    </row>
    <row r="122" spans="1:17" x14ac:dyDescent="0.45">
      <c r="A122" t="s">
        <v>19</v>
      </c>
      <c r="B122">
        <v>175</v>
      </c>
      <c r="C122">
        <v>88</v>
      </c>
      <c r="D122">
        <v>13.5</v>
      </c>
      <c r="E122">
        <v>175</v>
      </c>
      <c r="F122">
        <v>92</v>
      </c>
      <c r="G122">
        <v>13.5</v>
      </c>
      <c r="H122">
        <v>3.75</v>
      </c>
      <c r="I122">
        <v>3.42</v>
      </c>
      <c r="J122">
        <v>4.0823242903071197E-2</v>
      </c>
      <c r="K122">
        <v>500</v>
      </c>
      <c r="L122">
        <v>0</v>
      </c>
      <c r="N122">
        <v>67</v>
      </c>
      <c r="O122" s="48" t="s">
        <v>1040</v>
      </c>
      <c r="P122" t="s">
        <v>962</v>
      </c>
      <c r="Q122" t="s">
        <v>816</v>
      </c>
    </row>
    <row r="123" spans="1:17" x14ac:dyDescent="0.45">
      <c r="A123" t="s">
        <v>19</v>
      </c>
      <c r="B123">
        <v>175</v>
      </c>
      <c r="C123">
        <v>92</v>
      </c>
      <c r="D123">
        <v>13.5</v>
      </c>
      <c r="E123">
        <v>275</v>
      </c>
      <c r="F123">
        <v>92</v>
      </c>
      <c r="G123">
        <v>13.5</v>
      </c>
      <c r="H123">
        <v>3.75</v>
      </c>
      <c r="I123">
        <v>3.42</v>
      </c>
      <c r="J123">
        <v>1.0205810725767799</v>
      </c>
      <c r="K123">
        <v>500</v>
      </c>
      <c r="L123">
        <v>0</v>
      </c>
      <c r="N123">
        <v>67</v>
      </c>
      <c r="O123" s="48" t="s">
        <v>1041</v>
      </c>
      <c r="P123" t="s">
        <v>963</v>
      </c>
      <c r="Q123" t="s">
        <v>815</v>
      </c>
    </row>
    <row r="124" spans="1:17" x14ac:dyDescent="0.45">
      <c r="A124" t="s">
        <v>19</v>
      </c>
      <c r="B124">
        <v>275</v>
      </c>
      <c r="C124">
        <v>92</v>
      </c>
      <c r="D124">
        <v>13.5</v>
      </c>
      <c r="E124">
        <v>275</v>
      </c>
      <c r="F124">
        <v>96</v>
      </c>
      <c r="G124">
        <v>13.5</v>
      </c>
      <c r="H124">
        <v>3.75</v>
      </c>
      <c r="I124">
        <v>3.42</v>
      </c>
      <c r="J124">
        <v>4.0823242903071197E-2</v>
      </c>
      <c r="K124">
        <v>500</v>
      </c>
      <c r="L124">
        <v>0</v>
      </c>
      <c r="N124">
        <v>67</v>
      </c>
      <c r="O124" s="48" t="s">
        <v>1042</v>
      </c>
      <c r="P124" t="s">
        <v>952</v>
      </c>
      <c r="Q124" t="s">
        <v>814</v>
      </c>
    </row>
    <row r="125" spans="1:17" x14ac:dyDescent="0.45">
      <c r="A125" t="s">
        <v>19</v>
      </c>
      <c r="B125">
        <v>275</v>
      </c>
      <c r="C125">
        <v>96</v>
      </c>
      <c r="D125">
        <v>13.5</v>
      </c>
      <c r="E125">
        <v>175</v>
      </c>
      <c r="F125">
        <v>96</v>
      </c>
      <c r="G125">
        <v>13.5</v>
      </c>
      <c r="H125">
        <v>3.75</v>
      </c>
      <c r="I125">
        <v>3.42</v>
      </c>
      <c r="J125">
        <v>1.0205810725767799</v>
      </c>
      <c r="K125">
        <v>500</v>
      </c>
      <c r="L125">
        <v>0</v>
      </c>
      <c r="N125">
        <v>67</v>
      </c>
      <c r="O125" s="48" t="s">
        <v>1043</v>
      </c>
      <c r="P125" t="s">
        <v>961</v>
      </c>
      <c r="Q125" t="s">
        <v>813</v>
      </c>
    </row>
    <row r="126" spans="1:17" x14ac:dyDescent="0.45">
      <c r="A126" t="s">
        <v>19</v>
      </c>
      <c r="B126">
        <v>175</v>
      </c>
      <c r="C126">
        <v>96</v>
      </c>
      <c r="D126">
        <v>13.5</v>
      </c>
      <c r="E126">
        <v>175</v>
      </c>
      <c r="F126">
        <v>100</v>
      </c>
      <c r="G126">
        <v>13.5</v>
      </c>
      <c r="H126">
        <v>3.75</v>
      </c>
      <c r="I126">
        <v>3.42</v>
      </c>
      <c r="J126">
        <v>4.0823242903071197E-2</v>
      </c>
      <c r="K126">
        <v>500</v>
      </c>
      <c r="L126">
        <v>0</v>
      </c>
      <c r="N126">
        <v>67</v>
      </c>
      <c r="O126" s="48" t="s">
        <v>1044</v>
      </c>
      <c r="P126" t="s">
        <v>962</v>
      </c>
      <c r="Q126" t="s">
        <v>824</v>
      </c>
    </row>
    <row r="127" spans="1:17" x14ac:dyDescent="0.45">
      <c r="A127" t="s">
        <v>19</v>
      </c>
      <c r="B127">
        <v>175</v>
      </c>
      <c r="C127">
        <v>100</v>
      </c>
      <c r="D127">
        <v>13.5</v>
      </c>
      <c r="E127">
        <v>275</v>
      </c>
      <c r="F127">
        <v>100</v>
      </c>
      <c r="G127">
        <v>13.5</v>
      </c>
      <c r="H127">
        <v>3.75</v>
      </c>
      <c r="I127">
        <v>3.42</v>
      </c>
      <c r="J127">
        <v>1.0205810725767799</v>
      </c>
      <c r="K127">
        <v>500</v>
      </c>
      <c r="L127">
        <v>0</v>
      </c>
      <c r="N127">
        <v>67</v>
      </c>
      <c r="O127" s="48" t="s">
        <v>1045</v>
      </c>
      <c r="P127" t="s">
        <v>963</v>
      </c>
      <c r="Q127" t="s">
        <v>815</v>
      </c>
    </row>
    <row r="128" spans="1:17" x14ac:dyDescent="0.45">
      <c r="A128" t="s">
        <v>39</v>
      </c>
      <c r="B128">
        <v>0</v>
      </c>
      <c r="C128">
        <v>0</v>
      </c>
      <c r="N128">
        <v>68</v>
      </c>
      <c r="O128" s="48" t="s">
        <v>1046</v>
      </c>
      <c r="P128" t="s">
        <v>947</v>
      </c>
      <c r="Q128" t="s">
        <v>806</v>
      </c>
    </row>
    <row r="129" spans="1:17" x14ac:dyDescent="0.45">
      <c r="A129" t="s">
        <v>807</v>
      </c>
      <c r="B129">
        <v>2.7</v>
      </c>
      <c r="C129">
        <v>6000</v>
      </c>
      <c r="N129">
        <v>68</v>
      </c>
      <c r="O129" s="48" t="s">
        <v>1046</v>
      </c>
      <c r="P129" t="s">
        <v>947</v>
      </c>
      <c r="Q129" t="s">
        <v>835</v>
      </c>
    </row>
    <row r="130" spans="1:17" x14ac:dyDescent="0.45">
      <c r="A130" t="s">
        <v>23</v>
      </c>
      <c r="B130">
        <v>275</v>
      </c>
      <c r="C130">
        <v>100</v>
      </c>
      <c r="D130">
        <v>13.5</v>
      </c>
      <c r="E130">
        <v>275</v>
      </c>
      <c r="F130">
        <v>100</v>
      </c>
      <c r="G130">
        <v>16.2</v>
      </c>
      <c r="H130">
        <v>0</v>
      </c>
      <c r="I130">
        <v>0</v>
      </c>
      <c r="K130">
        <v>3000</v>
      </c>
      <c r="N130">
        <v>0</v>
      </c>
      <c r="O130" s="48">
        <v>0</v>
      </c>
      <c r="P130" t="s">
        <v>659</v>
      </c>
      <c r="Q130" t="s">
        <v>836</v>
      </c>
    </row>
    <row r="131" spans="1:17" x14ac:dyDescent="0.45">
      <c r="A131" t="s">
        <v>23</v>
      </c>
      <c r="B131">
        <v>275</v>
      </c>
      <c r="C131">
        <v>100</v>
      </c>
      <c r="D131">
        <v>16.2</v>
      </c>
      <c r="E131">
        <v>283</v>
      </c>
      <c r="F131">
        <v>100</v>
      </c>
      <c r="G131">
        <v>21.6</v>
      </c>
      <c r="H131">
        <v>0</v>
      </c>
      <c r="I131">
        <v>0</v>
      </c>
      <c r="J131">
        <v>0</v>
      </c>
      <c r="K131">
        <v>3000</v>
      </c>
      <c r="L131">
        <v>0</v>
      </c>
      <c r="N131">
        <v>70</v>
      </c>
      <c r="O131" s="48" t="s">
        <v>1047</v>
      </c>
      <c r="P131" t="s">
        <v>964</v>
      </c>
      <c r="Q131" t="s">
        <v>1048</v>
      </c>
    </row>
    <row r="132" spans="1:17" x14ac:dyDescent="0.45">
      <c r="A132" t="s">
        <v>23</v>
      </c>
      <c r="B132">
        <v>283</v>
      </c>
      <c r="C132">
        <v>100</v>
      </c>
      <c r="D132">
        <v>21.6</v>
      </c>
      <c r="E132">
        <v>283</v>
      </c>
      <c r="F132">
        <v>140</v>
      </c>
      <c r="G132">
        <v>21.6</v>
      </c>
      <c r="H132">
        <v>0</v>
      </c>
      <c r="I132">
        <v>0</v>
      </c>
      <c r="J132">
        <v>0</v>
      </c>
      <c r="K132">
        <v>3000</v>
      </c>
      <c r="L132">
        <v>0</v>
      </c>
      <c r="N132">
        <v>71</v>
      </c>
      <c r="O132" s="48" t="s">
        <v>1049</v>
      </c>
      <c r="P132" t="s">
        <v>965</v>
      </c>
      <c r="Q132" t="s">
        <v>811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4.25" x14ac:dyDescent="0.45"/>
  <cols>
    <col min="2" max="2" width="69.73046875" bestFit="1" customWidth="1"/>
    <col min="3" max="3" width="9.59765625" customWidth="1"/>
    <col min="4" max="4" width="11" customWidth="1"/>
    <col min="7" max="7" width="28.265625" customWidth="1"/>
    <col min="8" max="8" width="16" customWidth="1"/>
    <col min="9" max="9" width="13.3984375" customWidth="1"/>
    <col min="13" max="13" width="12" customWidth="1"/>
    <col min="14" max="14" width="16.1328125" customWidth="1"/>
    <col min="15" max="15" width="16.265625" bestFit="1" customWidth="1"/>
    <col min="16" max="16" width="50.73046875" customWidth="1"/>
  </cols>
  <sheetData>
    <row r="1" spans="1:9" x14ac:dyDescent="0.45">
      <c r="A1" t="s">
        <v>107</v>
      </c>
      <c r="B1" t="s">
        <v>635</v>
      </c>
      <c r="I1" t="s">
        <v>489</v>
      </c>
    </row>
    <row r="2" spans="1:9" x14ac:dyDescent="0.45">
      <c r="B2" t="s">
        <v>637</v>
      </c>
    </row>
    <row r="3" spans="1:9" x14ac:dyDescent="0.45">
      <c r="I3" t="s">
        <v>484</v>
      </c>
    </row>
    <row r="4" spans="1:9" x14ac:dyDescent="0.45">
      <c r="B4" t="s">
        <v>495</v>
      </c>
    </row>
    <row r="6" spans="1:9" x14ac:dyDescent="0.45">
      <c r="B6" t="str">
        <f>CONCATENATE("M104 S",NozzleTemp)</f>
        <v>M104 S0</v>
      </c>
      <c r="I6" t="s">
        <v>485</v>
      </c>
    </row>
    <row r="7" spans="1:9" x14ac:dyDescent="0.45">
      <c r="B7" t="str">
        <f>CONCATENATE("M140 S",BedTemp)</f>
        <v>M140 S0</v>
      </c>
    </row>
    <row r="8" spans="1:9" ht="14.25" customHeight="1" x14ac:dyDescent="0.45">
      <c r="I8" t="s">
        <v>539</v>
      </c>
    </row>
    <row r="9" spans="1:9" ht="17.25" customHeight="1" x14ac:dyDescent="0.45">
      <c r="B9" t="s">
        <v>485</v>
      </c>
      <c r="I9" s="103" t="s">
        <v>540</v>
      </c>
    </row>
    <row r="10" spans="1:9" x14ac:dyDescent="0.45">
      <c r="B10" t="s">
        <v>633</v>
      </c>
      <c r="I10" t="s">
        <v>541</v>
      </c>
    </row>
    <row r="11" spans="1:9" x14ac:dyDescent="0.45">
      <c r="I11" t="s">
        <v>542</v>
      </c>
    </row>
    <row r="12" spans="1:9" x14ac:dyDescent="0.45">
      <c r="B12" t="s">
        <v>790</v>
      </c>
      <c r="I12" t="s">
        <v>537</v>
      </c>
    </row>
    <row r="13" spans="1:9" ht="15" customHeight="1" x14ac:dyDescent="0.45">
      <c r="I13" s="103" t="s">
        <v>543</v>
      </c>
    </row>
    <row r="14" spans="1:9" x14ac:dyDescent="0.45">
      <c r="B14" t="s">
        <v>791</v>
      </c>
      <c r="I14" t="s">
        <v>547</v>
      </c>
    </row>
    <row r="15" spans="1:9" x14ac:dyDescent="0.45">
      <c r="B15" t="s">
        <v>793</v>
      </c>
      <c r="I15" t="s">
        <v>548</v>
      </c>
    </row>
    <row r="16" spans="1:9" x14ac:dyDescent="0.45">
      <c r="B16" t="str">
        <f>CONCATENATE("set global.concretePrimeX = ", ConcretePrimeX)</f>
        <v>set global.concretePrimeX = 205</v>
      </c>
      <c r="I16" t="s">
        <v>538</v>
      </c>
    </row>
    <row r="17" spans="2:9" x14ac:dyDescent="0.45">
      <c r="B17" t="str">
        <f>CONCATENATE("set global.concretePrimeY = ", ConcretePrimeY)</f>
        <v>set global.concretePrimeY = 125</v>
      </c>
    </row>
    <row r="18" spans="2:9" x14ac:dyDescent="0.45">
      <c r="B18" t="str">
        <f>CONCATENATE("set global.concretePrimeZ = ", ConcreteLayerHeight)</f>
        <v>set global.concretePrimeZ = 2.7</v>
      </c>
      <c r="I18" t="s">
        <v>467</v>
      </c>
    </row>
    <row r="19" spans="2:9" x14ac:dyDescent="0.45">
      <c r="B19" t="str">
        <f>CONCATENATE("set global.concretePrimeLength = ", ConcretePrimeLength)</f>
        <v>set global.concretePrimeLength = 70</v>
      </c>
    </row>
    <row r="20" spans="2:9" x14ac:dyDescent="0.45">
      <c r="B20" t="str">
        <f>CONCATENATE("set global.concretePrimeE = ", 1.27)</f>
        <v>set global.concretePrimeE = 1.27</v>
      </c>
      <c r="I20" t="str">
        <f>CONCATENATE("M140 S",BedTemp)</f>
        <v>M140 S0</v>
      </c>
    </row>
    <row r="21" spans="2:9" x14ac:dyDescent="0.45">
      <c r="I21" t="str">
        <f>CONCATENATE("M104 S",NozzleTemp, " T0")</f>
        <v>M104 S0 T0</v>
      </c>
    </row>
    <row r="22" spans="2:9" x14ac:dyDescent="0.45">
      <c r="B22" t="str">
        <f>_xlfn.SINGLE(StartTool)</f>
        <v>T2</v>
      </c>
      <c r="I22" t="str">
        <f>CONCATENATE("M104 S",NozzleTemp, " T2")</f>
        <v>M104 S0 T2</v>
      </c>
    </row>
    <row r="23" spans="2:9" x14ac:dyDescent="0.45">
      <c r="I23" t="str">
        <f>CONCATENATE("M190 S",BedTemp)</f>
        <v>M190 S0</v>
      </c>
    </row>
    <row r="24" spans="2:9" x14ac:dyDescent="0.45">
      <c r="B24" t="str">
        <f>CONCATENATE("M109 S",NozzleTemp)</f>
        <v>M109 S0</v>
      </c>
      <c r="I24" t="str">
        <f>CONCATENATE("M109 S",NozzleTemp," T0")</f>
        <v>M109 S0 T0</v>
      </c>
    </row>
    <row r="25" spans="2:9" x14ac:dyDescent="0.45">
      <c r="B25" t="str">
        <f>CONCATENATE("M190 S",BedTemp)</f>
        <v>M190 S0</v>
      </c>
      <c r="I25" t="str">
        <f>CONCATENATE("M109 S",NozzleTemp," T2")</f>
        <v>M109 S0 T2</v>
      </c>
    </row>
    <row r="27" spans="2:9" x14ac:dyDescent="0.45">
      <c r="B27" t="s">
        <v>687</v>
      </c>
      <c r="I27" t="s">
        <v>490</v>
      </c>
    </row>
    <row r="28" spans="2:9" x14ac:dyDescent="0.45">
      <c r="I28" t="s">
        <v>470</v>
      </c>
    </row>
    <row r="29" spans="2:9" x14ac:dyDescent="0.45">
      <c r="B29" t="str">
        <f>CONCATENATE("M106 S",FanSpeed)</f>
        <v>M106 S0</v>
      </c>
      <c r="I29" t="str">
        <f>CONCATENATE("M106 S",FanSpeed, " ; set fan speed")</f>
        <v>M106 S0 ; set fan speed</v>
      </c>
    </row>
    <row r="31" spans="2:9" x14ac:dyDescent="0.45">
      <c r="B31" t="s">
        <v>649</v>
      </c>
      <c r="I31" t="s">
        <v>544</v>
      </c>
    </row>
    <row r="32" spans="2:9" x14ac:dyDescent="0.45">
      <c r="B32" t="s">
        <v>650</v>
      </c>
    </row>
    <row r="33" spans="2:9" x14ac:dyDescent="0.45">
      <c r="B33" t="s">
        <v>651</v>
      </c>
      <c r="I33" t="s">
        <v>486</v>
      </c>
    </row>
    <row r="34" spans="2:9" x14ac:dyDescent="0.45">
      <c r="I34" t="s">
        <v>487</v>
      </c>
    </row>
    <row r="35" spans="2:9" x14ac:dyDescent="0.45">
      <c r="B35" t="s">
        <v>636</v>
      </c>
    </row>
    <row r="36" spans="2:9" x14ac:dyDescent="0.45">
      <c r="I36" t="s">
        <v>488</v>
      </c>
    </row>
    <row r="39" spans="2:9" x14ac:dyDescent="0.45">
      <c r="I39" t="s">
        <v>121</v>
      </c>
    </row>
    <row r="53" spans="3:14" x14ac:dyDescent="0.45">
      <c r="J53" t="s">
        <v>109</v>
      </c>
      <c r="N53" t="s">
        <v>109</v>
      </c>
    </row>
    <row r="62" spans="3:14" x14ac:dyDescent="0.4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4.25" x14ac:dyDescent="0.45"/>
  <cols>
    <col min="2" max="2" width="73.265625" customWidth="1"/>
    <col min="4" max="4" width="11" customWidth="1"/>
    <col min="7" max="8" width="28.265625" customWidth="1"/>
    <col min="12" max="12" width="24.73046875" bestFit="1" customWidth="1"/>
    <col min="13" max="13" width="47.59765625" customWidth="1"/>
    <col min="14" max="14" width="9.73046875" customWidth="1"/>
  </cols>
  <sheetData>
    <row r="1" spans="1:14" x14ac:dyDescent="0.45">
      <c r="A1" t="s">
        <v>110</v>
      </c>
      <c r="B1" t="s">
        <v>635</v>
      </c>
      <c r="C1" t="s">
        <v>393</v>
      </c>
      <c r="D1" t="s">
        <v>394</v>
      </c>
      <c r="E1" t="s">
        <v>425</v>
      </c>
      <c r="F1" t="s">
        <v>455</v>
      </c>
      <c r="G1" t="s">
        <v>465</v>
      </c>
      <c r="H1" t="s">
        <v>466</v>
      </c>
      <c r="I1" t="s">
        <v>489</v>
      </c>
      <c r="J1" t="s">
        <v>504</v>
      </c>
      <c r="K1" t="s">
        <v>554</v>
      </c>
      <c r="L1" t="s">
        <v>558</v>
      </c>
      <c r="M1" t="s">
        <v>591</v>
      </c>
      <c r="N1" t="s">
        <v>592</v>
      </c>
    </row>
    <row r="2" spans="1:14" x14ac:dyDescent="0.45">
      <c r="N2" t="s">
        <v>109</v>
      </c>
    </row>
    <row r="3" spans="1:14" x14ac:dyDescent="0.45">
      <c r="B3" t="s">
        <v>638</v>
      </c>
      <c r="C3" t="s">
        <v>120</v>
      </c>
      <c r="D3" t="s">
        <v>120</v>
      </c>
      <c r="E3" t="s">
        <v>120</v>
      </c>
      <c r="F3" t="s">
        <v>120</v>
      </c>
      <c r="G3" t="s">
        <v>120</v>
      </c>
      <c r="H3" t="s">
        <v>120</v>
      </c>
      <c r="I3" t="s">
        <v>120</v>
      </c>
      <c r="J3" t="s">
        <v>120</v>
      </c>
      <c r="K3" t="s">
        <v>120</v>
      </c>
      <c r="L3" t="s">
        <v>120</v>
      </c>
      <c r="M3" t="s">
        <v>120</v>
      </c>
    </row>
    <row r="4" spans="1:14" x14ac:dyDescent="0.45">
      <c r="G4" t="s">
        <v>109</v>
      </c>
    </row>
    <row r="5" spans="1:14" x14ac:dyDescent="0.45">
      <c r="B5" t="s">
        <v>491</v>
      </c>
      <c r="E5" t="s">
        <v>427</v>
      </c>
      <c r="H5" t="s">
        <v>469</v>
      </c>
    </row>
    <row r="6" spans="1:14" x14ac:dyDescent="0.45">
      <c r="B6" t="s">
        <v>492</v>
      </c>
      <c r="D6" t="s">
        <v>395</v>
      </c>
      <c r="E6" t="s">
        <v>396</v>
      </c>
      <c r="F6" t="s">
        <v>456</v>
      </c>
      <c r="G6" t="s">
        <v>469</v>
      </c>
      <c r="H6" t="s">
        <v>478</v>
      </c>
      <c r="N6" t="s">
        <v>593</v>
      </c>
    </row>
    <row r="7" spans="1:14" x14ac:dyDescent="0.45">
      <c r="B7" t="s">
        <v>493</v>
      </c>
      <c r="D7" t="s">
        <v>396</v>
      </c>
      <c r="E7" t="s">
        <v>429</v>
      </c>
      <c r="G7" t="s">
        <v>83</v>
      </c>
      <c r="I7" t="s">
        <v>491</v>
      </c>
      <c r="J7" t="s">
        <v>536</v>
      </c>
      <c r="K7" t="s">
        <v>505</v>
      </c>
      <c r="L7" t="s">
        <v>559</v>
      </c>
      <c r="M7" t="s">
        <v>567</v>
      </c>
      <c r="N7" t="s">
        <v>594</v>
      </c>
    </row>
    <row r="8" spans="1:14" x14ac:dyDescent="0.45">
      <c r="B8" t="s">
        <v>439</v>
      </c>
      <c r="D8" t="s">
        <v>84</v>
      </c>
      <c r="E8" t="s">
        <v>430</v>
      </c>
      <c r="G8" t="s">
        <v>492</v>
      </c>
      <c r="I8" t="s">
        <v>492</v>
      </c>
      <c r="K8" t="s">
        <v>426</v>
      </c>
      <c r="L8" t="s">
        <v>560</v>
      </c>
      <c r="N8" t="s">
        <v>595</v>
      </c>
    </row>
    <row r="9" spans="1:14" x14ac:dyDescent="0.45">
      <c r="D9" t="s">
        <v>397</v>
      </c>
      <c r="E9" t="s">
        <v>84</v>
      </c>
      <c r="F9" t="s">
        <v>397</v>
      </c>
      <c r="G9" t="s">
        <v>553</v>
      </c>
      <c r="H9" t="s">
        <v>471</v>
      </c>
      <c r="I9" t="s">
        <v>493</v>
      </c>
      <c r="J9" t="s">
        <v>396</v>
      </c>
      <c r="K9" t="s">
        <v>555</v>
      </c>
      <c r="L9" t="s">
        <v>467</v>
      </c>
      <c r="M9" t="s">
        <v>568</v>
      </c>
      <c r="N9" t="s">
        <v>84</v>
      </c>
    </row>
    <row r="10" spans="1:14" x14ac:dyDescent="0.45">
      <c r="B10" t="s">
        <v>494</v>
      </c>
      <c r="D10" t="s">
        <v>398</v>
      </c>
      <c r="E10" t="s">
        <v>431</v>
      </c>
      <c r="F10" t="s">
        <v>457</v>
      </c>
      <c r="G10" t="s">
        <v>439</v>
      </c>
      <c r="H10" t="s">
        <v>472</v>
      </c>
      <c r="I10" t="s">
        <v>439</v>
      </c>
      <c r="J10" t="s">
        <v>84</v>
      </c>
      <c r="K10" t="s">
        <v>438</v>
      </c>
      <c r="L10" t="s">
        <v>561</v>
      </c>
      <c r="N10" t="s">
        <v>596</v>
      </c>
    </row>
    <row r="11" spans="1:14" x14ac:dyDescent="0.45">
      <c r="B11" t="s">
        <v>495</v>
      </c>
      <c r="D11" t="s">
        <v>399</v>
      </c>
      <c r="E11" t="s">
        <v>432</v>
      </c>
      <c r="F11" t="s">
        <v>402</v>
      </c>
      <c r="G11" t="s">
        <v>471</v>
      </c>
      <c r="H11" t="s">
        <v>83</v>
      </c>
      <c r="I11" t="s">
        <v>494</v>
      </c>
      <c r="J11" t="s">
        <v>505</v>
      </c>
      <c r="K11" t="s">
        <v>505</v>
      </c>
      <c r="L11" t="s">
        <v>468</v>
      </c>
      <c r="N11" t="s">
        <v>432</v>
      </c>
    </row>
    <row r="12" spans="1:14" x14ac:dyDescent="0.45">
      <c r="D12" t="s">
        <v>400</v>
      </c>
      <c r="E12" t="s">
        <v>433</v>
      </c>
      <c r="G12" t="s">
        <v>83</v>
      </c>
      <c r="H12" t="s">
        <v>473</v>
      </c>
      <c r="I12" t="s">
        <v>495</v>
      </c>
      <c r="J12" t="s">
        <v>506</v>
      </c>
      <c r="K12" t="s">
        <v>556</v>
      </c>
      <c r="L12" t="s">
        <v>562</v>
      </c>
      <c r="M12" t="s">
        <v>396</v>
      </c>
      <c r="N12" t="s">
        <v>433</v>
      </c>
    </row>
    <row r="13" spans="1:14" x14ac:dyDescent="0.45">
      <c r="B13" t="s">
        <v>639</v>
      </c>
      <c r="D13" t="s">
        <v>401</v>
      </c>
      <c r="E13" t="s">
        <v>84</v>
      </c>
      <c r="F13" t="s">
        <v>458</v>
      </c>
      <c r="G13" t="s">
        <v>473</v>
      </c>
      <c r="H13" t="s">
        <v>471</v>
      </c>
      <c r="J13" t="s">
        <v>426</v>
      </c>
      <c r="K13" t="s">
        <v>557</v>
      </c>
      <c r="L13" t="s">
        <v>469</v>
      </c>
      <c r="M13" t="s">
        <v>428</v>
      </c>
      <c r="N13" t="s">
        <v>597</v>
      </c>
    </row>
    <row r="14" spans="1:14" x14ac:dyDescent="0.45">
      <c r="B14" t="s">
        <v>640</v>
      </c>
      <c r="D14" t="s">
        <v>402</v>
      </c>
      <c r="E14" t="s">
        <v>434</v>
      </c>
      <c r="G14" t="s">
        <v>474</v>
      </c>
      <c r="H14" t="s">
        <v>472</v>
      </c>
      <c r="J14" t="s">
        <v>503</v>
      </c>
      <c r="K14" t="s">
        <v>91</v>
      </c>
      <c r="M14" t="s">
        <v>430</v>
      </c>
      <c r="N14" t="s">
        <v>598</v>
      </c>
    </row>
    <row r="15" spans="1:14" x14ac:dyDescent="0.45">
      <c r="E15" t="s">
        <v>435</v>
      </c>
      <c r="F15" t="s">
        <v>459</v>
      </c>
      <c r="G15" t="s">
        <v>471</v>
      </c>
      <c r="H15" t="s">
        <v>474</v>
      </c>
      <c r="I15" t="s">
        <v>496</v>
      </c>
      <c r="J15" t="s">
        <v>435</v>
      </c>
      <c r="K15" t="s">
        <v>92</v>
      </c>
      <c r="L15" t="s">
        <v>467</v>
      </c>
      <c r="M15" t="s">
        <v>84</v>
      </c>
    </row>
    <row r="16" spans="1:14" x14ac:dyDescent="0.45">
      <c r="B16" t="s">
        <v>496</v>
      </c>
      <c r="D16" t="s">
        <v>416</v>
      </c>
      <c r="E16" t="s">
        <v>454</v>
      </c>
      <c r="F16" t="s">
        <v>460</v>
      </c>
      <c r="G16" t="s">
        <v>407</v>
      </c>
      <c r="H16" t="s">
        <v>475</v>
      </c>
      <c r="I16" t="s">
        <v>497</v>
      </c>
      <c r="J16" t="s">
        <v>507</v>
      </c>
      <c r="L16" t="s">
        <v>492</v>
      </c>
      <c r="M16" t="s">
        <v>569</v>
      </c>
      <c r="N16" t="s">
        <v>599</v>
      </c>
    </row>
    <row r="17" spans="2:14" x14ac:dyDescent="0.45">
      <c r="B17" t="s">
        <v>641</v>
      </c>
      <c r="D17" t="s">
        <v>403</v>
      </c>
      <c r="E17" t="s">
        <v>436</v>
      </c>
      <c r="F17" t="s">
        <v>461</v>
      </c>
      <c r="G17" t="s">
        <v>396</v>
      </c>
      <c r="H17" t="s">
        <v>396</v>
      </c>
      <c r="I17" t="s">
        <v>498</v>
      </c>
      <c r="J17" t="s">
        <v>508</v>
      </c>
      <c r="L17" t="s">
        <v>563</v>
      </c>
      <c r="M17" t="s">
        <v>570</v>
      </c>
      <c r="N17" t="s">
        <v>600</v>
      </c>
    </row>
    <row r="18" spans="2:14" x14ac:dyDescent="0.45">
      <c r="D18" t="s">
        <v>404</v>
      </c>
      <c r="E18" t="s">
        <v>437</v>
      </c>
      <c r="F18" t="s">
        <v>462</v>
      </c>
      <c r="G18" t="s">
        <v>84</v>
      </c>
      <c r="H18" t="s">
        <v>84</v>
      </c>
      <c r="J18" t="s">
        <v>91</v>
      </c>
      <c r="L18" t="s">
        <v>564</v>
      </c>
      <c r="M18" t="s">
        <v>571</v>
      </c>
      <c r="N18" t="s">
        <v>601</v>
      </c>
    </row>
    <row r="19" spans="2:14" x14ac:dyDescent="0.45">
      <c r="B19" t="s">
        <v>696</v>
      </c>
      <c r="C19" t="s">
        <v>642</v>
      </c>
      <c r="D19" t="s">
        <v>405</v>
      </c>
      <c r="E19" t="s">
        <v>438</v>
      </c>
      <c r="F19" t="s">
        <v>463</v>
      </c>
      <c r="G19" t="s">
        <v>492</v>
      </c>
      <c r="H19" t="s">
        <v>397</v>
      </c>
      <c r="J19" t="s">
        <v>407</v>
      </c>
      <c r="L19" t="s">
        <v>439</v>
      </c>
      <c r="M19" t="s">
        <v>572</v>
      </c>
      <c r="N19" t="s">
        <v>602</v>
      </c>
    </row>
    <row r="20" spans="2:14" x14ac:dyDescent="0.45">
      <c r="B20" t="s">
        <v>793</v>
      </c>
      <c r="E20" t="s">
        <v>439</v>
      </c>
      <c r="F20" t="s">
        <v>433</v>
      </c>
      <c r="G20" t="s">
        <v>477</v>
      </c>
      <c r="H20" t="s">
        <v>476</v>
      </c>
      <c r="J20" t="s">
        <v>92</v>
      </c>
      <c r="L20" t="s">
        <v>565</v>
      </c>
      <c r="M20" t="s">
        <v>91</v>
      </c>
      <c r="N20" t="s">
        <v>603</v>
      </c>
    </row>
    <row r="21" spans="2:14" x14ac:dyDescent="0.45">
      <c r="C21" t="s">
        <v>406</v>
      </c>
      <c r="D21" t="s">
        <v>406</v>
      </c>
      <c r="E21" t="s">
        <v>440</v>
      </c>
      <c r="F21" t="s">
        <v>464</v>
      </c>
      <c r="G21" t="s">
        <v>119</v>
      </c>
      <c r="H21" t="s">
        <v>479</v>
      </c>
      <c r="L21" t="s">
        <v>566</v>
      </c>
      <c r="M21" t="s">
        <v>407</v>
      </c>
      <c r="N21" t="s">
        <v>601</v>
      </c>
    </row>
    <row r="22" spans="2:14" x14ac:dyDescent="0.45">
      <c r="B22" t="s">
        <v>498</v>
      </c>
      <c r="E22" t="s">
        <v>91</v>
      </c>
      <c r="G22" t="s">
        <v>439</v>
      </c>
      <c r="H22" t="s">
        <v>402</v>
      </c>
      <c r="J22" t="s">
        <v>509</v>
      </c>
      <c r="M22" t="s">
        <v>475</v>
      </c>
      <c r="N22" t="s">
        <v>604</v>
      </c>
    </row>
    <row r="23" spans="2:14" x14ac:dyDescent="0.45">
      <c r="B23" t="s">
        <v>643</v>
      </c>
      <c r="C23" t="s">
        <v>91</v>
      </c>
      <c r="D23" t="s">
        <v>91</v>
      </c>
      <c r="E23" t="s">
        <v>407</v>
      </c>
      <c r="H23" t="s">
        <v>480</v>
      </c>
      <c r="J23" t="s">
        <v>510</v>
      </c>
      <c r="M23" t="s">
        <v>92</v>
      </c>
      <c r="N23" t="s">
        <v>601</v>
      </c>
    </row>
    <row r="24" spans="2:14" x14ac:dyDescent="0.45">
      <c r="C24" t="s">
        <v>407</v>
      </c>
      <c r="D24" t="s">
        <v>407</v>
      </c>
      <c r="E24" t="s">
        <v>92</v>
      </c>
      <c r="H24" t="s">
        <v>477</v>
      </c>
      <c r="J24" t="s">
        <v>511</v>
      </c>
      <c r="M24" t="s">
        <v>573</v>
      </c>
    </row>
    <row r="25" spans="2:14" x14ac:dyDescent="0.45">
      <c r="C25" t="s">
        <v>92</v>
      </c>
      <c r="D25" t="s">
        <v>92</v>
      </c>
      <c r="E25" t="s">
        <v>441</v>
      </c>
      <c r="J25" t="s">
        <v>512</v>
      </c>
      <c r="M25" t="s">
        <v>574</v>
      </c>
    </row>
    <row r="26" spans="2:14" x14ac:dyDescent="0.45">
      <c r="C26" t="s">
        <v>408</v>
      </c>
      <c r="D26" t="s">
        <v>417</v>
      </c>
      <c r="E26" t="s">
        <v>442</v>
      </c>
      <c r="J26" t="s">
        <v>513</v>
      </c>
      <c r="M26" t="s">
        <v>575</v>
      </c>
    </row>
    <row r="27" spans="2:14" x14ac:dyDescent="0.45">
      <c r="C27" t="s">
        <v>409</v>
      </c>
      <c r="D27" t="s">
        <v>418</v>
      </c>
      <c r="E27" t="s">
        <v>443</v>
      </c>
      <c r="H27" t="s">
        <v>91</v>
      </c>
      <c r="J27" t="s">
        <v>514</v>
      </c>
      <c r="M27" t="s">
        <v>576</v>
      </c>
    </row>
    <row r="28" spans="2:14" x14ac:dyDescent="0.45">
      <c r="C28" t="s">
        <v>410</v>
      </c>
      <c r="D28" t="s">
        <v>419</v>
      </c>
      <c r="E28" t="s">
        <v>444</v>
      </c>
      <c r="J28" t="s">
        <v>515</v>
      </c>
      <c r="M28" t="s">
        <v>577</v>
      </c>
    </row>
    <row r="29" spans="2:14" x14ac:dyDescent="0.45">
      <c r="C29" t="s">
        <v>411</v>
      </c>
      <c r="D29" t="s">
        <v>420</v>
      </c>
      <c r="E29" t="s">
        <v>445</v>
      </c>
      <c r="J29" t="s">
        <v>516</v>
      </c>
      <c r="M29" t="s">
        <v>578</v>
      </c>
    </row>
    <row r="30" spans="2:14" x14ac:dyDescent="0.45">
      <c r="C30" t="s">
        <v>412</v>
      </c>
      <c r="D30" t="s">
        <v>421</v>
      </c>
      <c r="E30" t="s">
        <v>446</v>
      </c>
      <c r="H30" t="s">
        <v>438</v>
      </c>
      <c r="J30" t="s">
        <v>517</v>
      </c>
      <c r="M30" t="s">
        <v>579</v>
      </c>
    </row>
    <row r="31" spans="2:14" x14ac:dyDescent="0.45">
      <c r="C31" t="s">
        <v>413</v>
      </c>
      <c r="D31" t="s">
        <v>422</v>
      </c>
      <c r="E31" t="s">
        <v>447</v>
      </c>
      <c r="H31" t="s">
        <v>490</v>
      </c>
      <c r="J31" t="s">
        <v>518</v>
      </c>
      <c r="M31" t="s">
        <v>580</v>
      </c>
    </row>
    <row r="32" spans="2:14" x14ac:dyDescent="0.45">
      <c r="C32" t="s">
        <v>414</v>
      </c>
      <c r="D32" t="s">
        <v>423</v>
      </c>
      <c r="E32" t="s">
        <v>448</v>
      </c>
      <c r="J32" t="s">
        <v>519</v>
      </c>
      <c r="M32" t="s">
        <v>581</v>
      </c>
    </row>
    <row r="33" spans="3:13" x14ac:dyDescent="0.45">
      <c r="C33" t="s">
        <v>415</v>
      </c>
      <c r="D33" t="s">
        <v>424</v>
      </c>
      <c r="E33" t="s">
        <v>449</v>
      </c>
      <c r="J33" t="s">
        <v>520</v>
      </c>
      <c r="M33" t="s">
        <v>582</v>
      </c>
    </row>
    <row r="34" spans="3:13" x14ac:dyDescent="0.45">
      <c r="E34" t="s">
        <v>450</v>
      </c>
      <c r="J34" t="s">
        <v>521</v>
      </c>
      <c r="M34" t="s">
        <v>583</v>
      </c>
    </row>
    <row r="35" spans="3:13" x14ac:dyDescent="0.45">
      <c r="E35" t="s">
        <v>451</v>
      </c>
      <c r="J35" t="s">
        <v>522</v>
      </c>
      <c r="M35" t="s">
        <v>584</v>
      </c>
    </row>
    <row r="36" spans="3:13" x14ac:dyDescent="0.45">
      <c r="E36" t="s">
        <v>452</v>
      </c>
      <c r="J36" t="s">
        <v>523</v>
      </c>
      <c r="M36" t="s">
        <v>585</v>
      </c>
    </row>
    <row r="37" spans="3:13" x14ac:dyDescent="0.45">
      <c r="E37" t="s">
        <v>453</v>
      </c>
      <c r="J37" t="s">
        <v>524</v>
      </c>
      <c r="M37" t="s">
        <v>586</v>
      </c>
    </row>
    <row r="38" spans="3:13" x14ac:dyDescent="0.45">
      <c r="J38" t="s">
        <v>525</v>
      </c>
      <c r="M38" t="s">
        <v>587</v>
      </c>
    </row>
    <row r="39" spans="3:13" x14ac:dyDescent="0.45">
      <c r="J39" t="s">
        <v>526</v>
      </c>
      <c r="M39" t="s">
        <v>588</v>
      </c>
    </row>
    <row r="40" spans="3:13" x14ac:dyDescent="0.45">
      <c r="J40" t="s">
        <v>527</v>
      </c>
      <c r="M40" t="s">
        <v>589</v>
      </c>
    </row>
    <row r="41" spans="3:13" x14ac:dyDescent="0.45">
      <c r="J41" t="s">
        <v>528</v>
      </c>
      <c r="M41" t="s">
        <v>590</v>
      </c>
    </row>
    <row r="42" spans="3:13" x14ac:dyDescent="0.45">
      <c r="J42" t="s">
        <v>529</v>
      </c>
    </row>
    <row r="43" spans="3:13" x14ac:dyDescent="0.45">
      <c r="J43" t="s">
        <v>530</v>
      </c>
    </row>
    <row r="44" spans="3:13" x14ac:dyDescent="0.45">
      <c r="J44" t="s">
        <v>531</v>
      </c>
    </row>
    <row r="45" spans="3:13" x14ac:dyDescent="0.45">
      <c r="J45" t="s">
        <v>532</v>
      </c>
    </row>
    <row r="46" spans="3:13" x14ac:dyDescent="0.45">
      <c r="J46" t="s">
        <v>533</v>
      </c>
    </row>
    <row r="47" spans="3:13" x14ac:dyDescent="0.45">
      <c r="J47" t="s">
        <v>534</v>
      </c>
    </row>
    <row r="48" spans="3:13" x14ac:dyDescent="0.4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25" x14ac:dyDescent="0.45"/>
  <cols>
    <col min="1" max="16" width="14.73046875" bestFit="1" customWidth="1"/>
  </cols>
  <sheetData>
    <row r="1" spans="1:16" x14ac:dyDescent="0.45">
      <c r="A1" t="s">
        <v>110</v>
      </c>
      <c r="B1" t="s">
        <v>204</v>
      </c>
      <c r="C1" t="s">
        <v>466</v>
      </c>
      <c r="D1" t="s">
        <v>483</v>
      </c>
    </row>
    <row r="3" spans="1:16" s="45" customFormat="1" x14ac:dyDescent="0.4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45">
      <c r="B4" t="s">
        <v>205</v>
      </c>
      <c r="C4" t="s">
        <v>467</v>
      </c>
      <c r="D4" t="s">
        <v>467</v>
      </c>
    </row>
    <row r="5" spans="1:16" x14ac:dyDescent="0.45">
      <c r="B5" t="s">
        <v>206</v>
      </c>
      <c r="C5" t="s">
        <v>482</v>
      </c>
      <c r="D5" t="s">
        <v>486</v>
      </c>
    </row>
    <row r="6" spans="1:16" x14ac:dyDescent="0.45">
      <c r="B6" t="s">
        <v>207</v>
      </c>
      <c r="D6" t="s">
        <v>546</v>
      </c>
    </row>
    <row r="7" spans="1:16" x14ac:dyDescent="0.45">
      <c r="B7" t="s">
        <v>208</v>
      </c>
    </row>
    <row r="8" spans="1:16" x14ac:dyDescent="0.45">
      <c r="B8" t="s">
        <v>209</v>
      </c>
    </row>
    <row r="14" spans="1:16" s="45" customFormat="1" x14ac:dyDescent="0.4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45">
      <c r="B15" t="s">
        <v>210</v>
      </c>
      <c r="C15" t="s">
        <v>83</v>
      </c>
    </row>
    <row r="16" spans="1:16" s="45" customFormat="1" x14ac:dyDescent="0.45">
      <c r="B16" t="s">
        <v>211</v>
      </c>
      <c r="C16" t="s">
        <v>481</v>
      </c>
    </row>
    <row r="17" spans="1:16" s="45" customFormat="1" x14ac:dyDescent="0.45">
      <c r="B17" t="s">
        <v>212</v>
      </c>
    </row>
    <row r="18" spans="1:16" s="45" customFormat="1" x14ac:dyDescent="0.45">
      <c r="B18" t="s">
        <v>213</v>
      </c>
    </row>
    <row r="19" spans="1:16" s="45" customFormat="1" x14ac:dyDescent="0.45">
      <c r="B19" t="s">
        <v>214</v>
      </c>
    </row>
    <row r="25" spans="1:16" s="45" customFormat="1" x14ac:dyDescent="0.4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45">
      <c r="B26" t="s">
        <v>215</v>
      </c>
      <c r="C26" t="s">
        <v>468</v>
      </c>
      <c r="D26" t="s">
        <v>468</v>
      </c>
    </row>
    <row r="27" spans="1:16" s="45" customFormat="1" x14ac:dyDescent="0.45">
      <c r="B27" t="s">
        <v>216</v>
      </c>
      <c r="C27" t="s">
        <v>482</v>
      </c>
      <c r="D27" t="s">
        <v>500</v>
      </c>
    </row>
    <row r="28" spans="1:16" s="45" customFormat="1" x14ac:dyDescent="0.45">
      <c r="B28" t="s">
        <v>217</v>
      </c>
      <c r="D28"/>
    </row>
    <row r="29" spans="1:16" s="45" customFormat="1" x14ac:dyDescent="0.45">
      <c r="B29" t="s">
        <v>218</v>
      </c>
      <c r="D29"/>
    </row>
    <row r="30" spans="1:16" s="45" customFormat="1" x14ac:dyDescent="0.45">
      <c r="B30" t="s">
        <v>219</v>
      </c>
    </row>
    <row r="36" spans="1:16" s="45" customFormat="1" x14ac:dyDescent="0.4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45">
      <c r="B37" t="s">
        <v>220</v>
      </c>
      <c r="C37" t="s">
        <v>83</v>
      </c>
    </row>
    <row r="38" spans="1:16" s="45" customFormat="1" x14ac:dyDescent="0.45">
      <c r="B38" t="s">
        <v>221</v>
      </c>
      <c r="C38" t="s">
        <v>481</v>
      </c>
    </row>
    <row r="39" spans="1:16" s="45" customFormat="1" x14ac:dyDescent="0.45">
      <c r="B39" t="s">
        <v>222</v>
      </c>
    </row>
    <row r="40" spans="1:16" s="45" customFormat="1" x14ac:dyDescent="0.45">
      <c r="B40" t="s">
        <v>223</v>
      </c>
    </row>
    <row r="41" spans="1:16" s="45" customFormat="1" x14ac:dyDescent="0.45">
      <c r="B41" t="s">
        <v>224</v>
      </c>
    </row>
    <row r="47" spans="1:16" s="45" customFormat="1" x14ac:dyDescent="0.4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45">
      <c r="B48" t="s">
        <v>226</v>
      </c>
      <c r="D48" t="s">
        <v>499</v>
      </c>
    </row>
    <row r="49" spans="1:16" s="45" customFormat="1" x14ac:dyDescent="0.45">
      <c r="B49" t="s">
        <v>225</v>
      </c>
      <c r="D49" t="s">
        <v>545</v>
      </c>
    </row>
    <row r="50" spans="1:16" s="45" customFormat="1" x14ac:dyDescent="0.45">
      <c r="B50" t="s">
        <v>227</v>
      </c>
      <c r="D50" t="s">
        <v>546</v>
      </c>
    </row>
    <row r="51" spans="1:16" s="45" customFormat="1" x14ac:dyDescent="0.45">
      <c r="B51" t="s">
        <v>228</v>
      </c>
      <c r="D51"/>
    </row>
    <row r="52" spans="1:16" s="45" customFormat="1" x14ac:dyDescent="0.45">
      <c r="B52" t="s">
        <v>229</v>
      </c>
      <c r="D52"/>
    </row>
    <row r="58" spans="1:16" s="45" customFormat="1" x14ac:dyDescent="0.4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45">
      <c r="B59" t="s">
        <v>230</v>
      </c>
    </row>
    <row r="60" spans="1:16" s="45" customFormat="1" x14ac:dyDescent="0.45">
      <c r="B60" t="s">
        <v>231</v>
      </c>
    </row>
    <row r="61" spans="1:16" s="45" customFormat="1" x14ac:dyDescent="0.45">
      <c r="B61" t="s">
        <v>232</v>
      </c>
    </row>
    <row r="62" spans="1:16" s="45" customFormat="1" x14ac:dyDescent="0.45">
      <c r="B62" t="s">
        <v>233</v>
      </c>
    </row>
    <row r="63" spans="1:16" s="45" customFormat="1" x14ac:dyDescent="0.45">
      <c r="B63" t="s">
        <v>234</v>
      </c>
    </row>
    <row r="69" spans="1:16" s="45" customFormat="1" x14ac:dyDescent="0.4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45">
      <c r="B70" t="s">
        <v>235</v>
      </c>
    </row>
    <row r="71" spans="1:16" s="45" customFormat="1" x14ac:dyDescent="0.45">
      <c r="B71" t="s">
        <v>236</v>
      </c>
      <c r="D71"/>
    </row>
    <row r="72" spans="1:16" s="45" customFormat="1" x14ac:dyDescent="0.45">
      <c r="B72" t="s">
        <v>237</v>
      </c>
      <c r="D72"/>
    </row>
    <row r="73" spans="1:16" s="45" customFormat="1" x14ac:dyDescent="0.45">
      <c r="B73" t="s">
        <v>238</v>
      </c>
      <c r="D73"/>
    </row>
    <row r="74" spans="1:16" s="45" customFormat="1" x14ac:dyDescent="0.45">
      <c r="B74" t="s">
        <v>239</v>
      </c>
    </row>
    <row r="80" spans="1:16" s="45" customFormat="1" x14ac:dyDescent="0.4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45">
      <c r="B81" t="s">
        <v>240</v>
      </c>
    </row>
    <row r="82" spans="2:2" s="45" customFormat="1" x14ac:dyDescent="0.45">
      <c r="B82" t="s">
        <v>241</v>
      </c>
    </row>
    <row r="83" spans="2:2" s="45" customFormat="1" x14ac:dyDescent="0.45">
      <c r="B83" t="s">
        <v>242</v>
      </c>
    </row>
    <row r="84" spans="2:2" s="45" customFormat="1" x14ac:dyDescent="0.45">
      <c r="B84" t="s">
        <v>243</v>
      </c>
    </row>
    <row r="85" spans="2:2" s="45" customFormat="1" x14ac:dyDescent="0.45">
      <c r="B85" t="s">
        <v>244</v>
      </c>
    </row>
    <row r="92" spans="2:2" s="45" customFormat="1" x14ac:dyDescent="0.45">
      <c r="B92"/>
    </row>
    <row r="93" spans="2:2" s="45" customFormat="1" x14ac:dyDescent="0.45">
      <c r="B93"/>
    </row>
    <row r="94" spans="2:2" s="45" customFormat="1" x14ac:dyDescent="0.45">
      <c r="B94"/>
    </row>
    <row r="95" spans="2:2" s="45" customFormat="1" x14ac:dyDescent="0.45">
      <c r="B95"/>
    </row>
    <row r="102" spans="2:2" s="45" customFormat="1" x14ac:dyDescent="0.45">
      <c r="B102"/>
    </row>
    <row r="103" spans="2:2" s="45" customFormat="1" x14ac:dyDescent="0.45">
      <c r="B103"/>
    </row>
    <row r="104" spans="2:2" s="45" customFormat="1" x14ac:dyDescent="0.45">
      <c r="B104"/>
    </row>
    <row r="105" spans="2:2" s="45" customFormat="1" x14ac:dyDescent="0.45">
      <c r="B105"/>
    </row>
    <row r="112" spans="2:2" s="45" customFormat="1" x14ac:dyDescent="0.45">
      <c r="B112"/>
    </row>
    <row r="113" spans="2:2" s="45" customFormat="1" x14ac:dyDescent="0.45">
      <c r="B113"/>
    </row>
    <row r="114" spans="2:2" s="45" customFormat="1" x14ac:dyDescent="0.45">
      <c r="B114"/>
    </row>
    <row r="115" spans="2:2" s="45" customFormat="1" x14ac:dyDescent="0.45">
      <c r="B115"/>
    </row>
    <row r="122" spans="2:2" s="45" customFormat="1" x14ac:dyDescent="0.45">
      <c r="B122"/>
    </row>
    <row r="123" spans="2:2" s="45" customFormat="1" x14ac:dyDescent="0.45">
      <c r="B123"/>
    </row>
    <row r="124" spans="2:2" s="45" customFormat="1" x14ac:dyDescent="0.45">
      <c r="B124"/>
    </row>
    <row r="125" spans="2:2" s="45" customFormat="1" x14ac:dyDescent="0.45">
      <c r="B125"/>
    </row>
    <row r="132" spans="2:2" s="45" customFormat="1" x14ac:dyDescent="0.45">
      <c r="B132"/>
    </row>
    <row r="133" spans="2:2" s="45" customFormat="1" x14ac:dyDescent="0.45">
      <c r="B133"/>
    </row>
    <row r="134" spans="2:2" s="45" customFormat="1" x14ac:dyDescent="0.45">
      <c r="B134"/>
    </row>
    <row r="135" spans="2:2" s="45" customFormat="1" x14ac:dyDescent="0.45">
      <c r="B135"/>
    </row>
    <row r="142" spans="2:2" s="45" customFormat="1" x14ac:dyDescent="0.45">
      <c r="B142"/>
    </row>
    <row r="143" spans="2:2" s="45" customFormat="1" x14ac:dyDescent="0.45">
      <c r="B143"/>
    </row>
    <row r="144" spans="2:2" s="45" customFormat="1" x14ac:dyDescent="0.45">
      <c r="B144"/>
    </row>
    <row r="145" spans="2:2" s="45" customFormat="1" x14ac:dyDescent="0.45">
      <c r="B145"/>
    </row>
    <row r="152" spans="2:2" s="45" customFormat="1" x14ac:dyDescent="0.45">
      <c r="B152"/>
    </row>
    <row r="153" spans="2:2" s="45" customFormat="1" x14ac:dyDescent="0.45">
      <c r="B153"/>
    </row>
    <row r="154" spans="2:2" s="45" customFormat="1" x14ac:dyDescent="0.45">
      <c r="B154"/>
    </row>
    <row r="155" spans="2:2" s="45" customFormat="1" x14ac:dyDescent="0.45">
      <c r="B155"/>
    </row>
    <row r="162" spans="2:2" s="45" customFormat="1" x14ac:dyDescent="0.45">
      <c r="B162"/>
    </row>
    <row r="163" spans="2:2" s="45" customFormat="1" x14ac:dyDescent="0.45">
      <c r="B163"/>
    </row>
    <row r="164" spans="2:2" s="45" customFormat="1" x14ac:dyDescent="0.45">
      <c r="B164"/>
    </row>
    <row r="165" spans="2:2" s="45" customFormat="1" x14ac:dyDescent="0.45">
      <c r="B165"/>
    </row>
    <row r="172" spans="2:2" s="45" customFormat="1" x14ac:dyDescent="0.45">
      <c r="B172"/>
    </row>
    <row r="173" spans="2:2" s="45" customFormat="1" x14ac:dyDescent="0.45">
      <c r="B173"/>
    </row>
    <row r="174" spans="2:2" s="45" customFormat="1" x14ac:dyDescent="0.45">
      <c r="B174"/>
    </row>
    <row r="175" spans="2:2" s="45" customFormat="1" x14ac:dyDescent="0.4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87"/>
  <sheetViews>
    <sheetView zoomScale="71" zoomScaleNormal="71" workbookViewId="0">
      <selection sqref="A1:A187"/>
    </sheetView>
  </sheetViews>
  <sheetFormatPr defaultRowHeight="14.25" x14ac:dyDescent="0.45"/>
  <sheetData>
    <row r="1" spans="1:1" x14ac:dyDescent="0.45">
      <c r="A1" t="s">
        <v>637</v>
      </c>
    </row>
    <row r="3" spans="1:1" x14ac:dyDescent="0.45">
      <c r="A3" t="s">
        <v>495</v>
      </c>
    </row>
    <row r="5" spans="1:1" x14ac:dyDescent="0.45">
      <c r="A5" t="s">
        <v>407</v>
      </c>
    </row>
    <row r="6" spans="1:1" x14ac:dyDescent="0.45">
      <c r="A6" t="s">
        <v>396</v>
      </c>
    </row>
    <row r="8" spans="1:1" x14ac:dyDescent="0.45">
      <c r="A8" t="s">
        <v>485</v>
      </c>
    </row>
    <row r="9" spans="1:1" x14ac:dyDescent="0.45">
      <c r="A9" t="s">
        <v>633</v>
      </c>
    </row>
    <row r="11" spans="1:1" x14ac:dyDescent="0.45">
      <c r="A11" t="s">
        <v>790</v>
      </c>
    </row>
    <row r="13" spans="1:1" x14ac:dyDescent="0.45">
      <c r="A13" t="s">
        <v>791</v>
      </c>
    </row>
    <row r="14" spans="1:1" x14ac:dyDescent="0.45">
      <c r="A14" t="s">
        <v>793</v>
      </c>
    </row>
    <row r="15" spans="1:1" x14ac:dyDescent="0.45">
      <c r="A15" t="s">
        <v>837</v>
      </c>
    </row>
    <row r="16" spans="1:1" x14ac:dyDescent="0.45">
      <c r="A16" t="s">
        <v>794</v>
      </c>
    </row>
    <row r="17" spans="1:1" x14ac:dyDescent="0.45">
      <c r="A17" t="s">
        <v>802</v>
      </c>
    </row>
    <row r="18" spans="1:1" x14ac:dyDescent="0.45">
      <c r="A18" t="s">
        <v>838</v>
      </c>
    </row>
    <row r="19" spans="1:1" x14ac:dyDescent="0.45">
      <c r="A19" t="s">
        <v>825</v>
      </c>
    </row>
    <row r="21" spans="1:1" x14ac:dyDescent="0.45">
      <c r="A21" t="s">
        <v>499</v>
      </c>
    </row>
    <row r="23" spans="1:1" x14ac:dyDescent="0.45">
      <c r="A23" t="s">
        <v>693</v>
      </c>
    </row>
    <row r="24" spans="1:1" x14ac:dyDescent="0.45">
      <c r="A24" t="s">
        <v>694</v>
      </c>
    </row>
    <row r="26" spans="1:1" x14ac:dyDescent="0.45">
      <c r="A26" t="s">
        <v>687</v>
      </c>
    </row>
    <row r="28" spans="1:1" x14ac:dyDescent="0.45">
      <c r="A28" t="s">
        <v>469</v>
      </c>
    </row>
    <row r="30" spans="1:1" x14ac:dyDescent="0.45">
      <c r="A30" t="s">
        <v>649</v>
      </c>
    </row>
    <row r="31" spans="1:1" x14ac:dyDescent="0.45">
      <c r="A31" t="s">
        <v>650</v>
      </c>
    </row>
    <row r="32" spans="1:1" x14ac:dyDescent="0.45">
      <c r="A32" t="s">
        <v>651</v>
      </c>
    </row>
    <row r="34" spans="1:1" x14ac:dyDescent="0.45">
      <c r="A34" t="s">
        <v>636</v>
      </c>
    </row>
    <row r="35" spans="1:1" x14ac:dyDescent="0.45">
      <c r="A35" t="s">
        <v>792</v>
      </c>
    </row>
    <row r="36" spans="1:1" x14ac:dyDescent="0.45">
      <c r="A36" t="s">
        <v>801</v>
      </c>
    </row>
    <row r="37" spans="1:1" x14ac:dyDescent="0.45">
      <c r="A37" t="s">
        <v>812</v>
      </c>
    </row>
    <row r="38" spans="1:1" x14ac:dyDescent="0.45">
      <c r="A38" t="s">
        <v>813</v>
      </c>
    </row>
    <row r="39" spans="1:1" x14ac:dyDescent="0.45">
      <c r="A39" t="s">
        <v>814</v>
      </c>
    </row>
    <row r="40" spans="1:1" x14ac:dyDescent="0.45">
      <c r="A40" t="s">
        <v>815</v>
      </c>
    </row>
    <row r="41" spans="1:1" x14ac:dyDescent="0.45">
      <c r="A41" t="s">
        <v>816</v>
      </c>
    </row>
    <row r="42" spans="1:1" x14ac:dyDescent="0.45">
      <c r="A42" t="s">
        <v>813</v>
      </c>
    </row>
    <row r="43" spans="1:1" x14ac:dyDescent="0.45">
      <c r="A43" t="s">
        <v>817</v>
      </c>
    </row>
    <row r="44" spans="1:1" x14ac:dyDescent="0.45">
      <c r="A44" t="s">
        <v>815</v>
      </c>
    </row>
    <row r="45" spans="1:1" x14ac:dyDescent="0.45">
      <c r="A45" t="s">
        <v>818</v>
      </c>
    </row>
    <row r="46" spans="1:1" x14ac:dyDescent="0.45">
      <c r="A46" t="s">
        <v>813</v>
      </c>
    </row>
    <row r="47" spans="1:1" x14ac:dyDescent="0.45">
      <c r="A47" t="s">
        <v>819</v>
      </c>
    </row>
    <row r="48" spans="1:1" x14ac:dyDescent="0.45">
      <c r="A48" t="s">
        <v>815</v>
      </c>
    </row>
    <row r="49" spans="1:1" x14ac:dyDescent="0.45">
      <c r="A49" t="s">
        <v>820</v>
      </c>
    </row>
    <row r="50" spans="1:1" x14ac:dyDescent="0.45">
      <c r="A50" t="s">
        <v>813</v>
      </c>
    </row>
    <row r="51" spans="1:1" x14ac:dyDescent="0.45">
      <c r="A51" t="s">
        <v>821</v>
      </c>
    </row>
    <row r="52" spans="1:1" x14ac:dyDescent="0.45">
      <c r="A52" t="s">
        <v>815</v>
      </c>
    </row>
    <row r="53" spans="1:1" x14ac:dyDescent="0.45">
      <c r="A53" t="s">
        <v>822</v>
      </c>
    </row>
    <row r="54" spans="1:1" x14ac:dyDescent="0.45">
      <c r="A54" t="s">
        <v>809</v>
      </c>
    </row>
    <row r="55" spans="1:1" x14ac:dyDescent="0.45">
      <c r="A55" t="s">
        <v>823</v>
      </c>
    </row>
    <row r="56" spans="1:1" x14ac:dyDescent="0.45">
      <c r="A56" t="s">
        <v>813</v>
      </c>
    </row>
    <row r="57" spans="1:1" x14ac:dyDescent="0.45">
      <c r="A57" t="s">
        <v>820</v>
      </c>
    </row>
    <row r="58" spans="1:1" x14ac:dyDescent="0.45">
      <c r="A58" t="s">
        <v>815</v>
      </c>
    </row>
    <row r="59" spans="1:1" x14ac:dyDescent="0.45">
      <c r="A59" t="s">
        <v>819</v>
      </c>
    </row>
    <row r="60" spans="1:1" x14ac:dyDescent="0.45">
      <c r="A60" t="s">
        <v>813</v>
      </c>
    </row>
    <row r="61" spans="1:1" x14ac:dyDescent="0.45">
      <c r="A61" t="s">
        <v>818</v>
      </c>
    </row>
    <row r="62" spans="1:1" x14ac:dyDescent="0.45">
      <c r="A62" t="s">
        <v>815</v>
      </c>
    </row>
    <row r="63" spans="1:1" x14ac:dyDescent="0.45">
      <c r="A63" t="s">
        <v>817</v>
      </c>
    </row>
    <row r="64" spans="1:1" x14ac:dyDescent="0.45">
      <c r="A64" t="s">
        <v>813</v>
      </c>
    </row>
    <row r="65" spans="1:1" x14ac:dyDescent="0.45">
      <c r="A65" t="s">
        <v>816</v>
      </c>
    </row>
    <row r="66" spans="1:1" x14ac:dyDescent="0.45">
      <c r="A66" t="s">
        <v>815</v>
      </c>
    </row>
    <row r="67" spans="1:1" x14ac:dyDescent="0.45">
      <c r="A67" t="s">
        <v>814</v>
      </c>
    </row>
    <row r="68" spans="1:1" x14ac:dyDescent="0.45">
      <c r="A68" t="s">
        <v>813</v>
      </c>
    </row>
    <row r="69" spans="1:1" x14ac:dyDescent="0.45">
      <c r="A69" t="s">
        <v>824</v>
      </c>
    </row>
    <row r="70" spans="1:1" x14ac:dyDescent="0.45">
      <c r="A70" t="s">
        <v>815</v>
      </c>
    </row>
    <row r="71" spans="1:1" x14ac:dyDescent="0.45">
      <c r="A71" t="s">
        <v>806</v>
      </c>
    </row>
    <row r="72" spans="1:1" x14ac:dyDescent="0.45">
      <c r="A72" t="s">
        <v>826</v>
      </c>
    </row>
    <row r="73" spans="1:1" x14ac:dyDescent="0.45">
      <c r="A73" t="s">
        <v>827</v>
      </c>
    </row>
    <row r="74" spans="1:1" x14ac:dyDescent="0.45">
      <c r="A74" t="s">
        <v>990</v>
      </c>
    </row>
    <row r="75" spans="1:1" x14ac:dyDescent="0.45">
      <c r="A75" t="s">
        <v>811</v>
      </c>
    </row>
    <row r="76" spans="1:1" x14ac:dyDescent="0.45">
      <c r="A76" t="s">
        <v>468</v>
      </c>
    </row>
    <row r="77" spans="1:1" x14ac:dyDescent="0.45">
      <c r="A77" t="s">
        <v>1050</v>
      </c>
    </row>
    <row r="78" spans="1:1" x14ac:dyDescent="0.45">
      <c r="A78" t="s">
        <v>979</v>
      </c>
    </row>
    <row r="79" spans="1:1" x14ac:dyDescent="0.45">
      <c r="A79" t="s">
        <v>994</v>
      </c>
    </row>
    <row r="80" spans="1:1" x14ac:dyDescent="0.45">
      <c r="A80" t="s">
        <v>499</v>
      </c>
    </row>
    <row r="81" spans="1:1" x14ac:dyDescent="0.45">
      <c r="A81" t="s">
        <v>792</v>
      </c>
    </row>
    <row r="82" spans="1:1" x14ac:dyDescent="0.45">
      <c r="A82" t="s">
        <v>997</v>
      </c>
    </row>
    <row r="83" spans="1:1" x14ac:dyDescent="0.45">
      <c r="A83" t="s">
        <v>998</v>
      </c>
    </row>
    <row r="84" spans="1:1" x14ac:dyDescent="0.45">
      <c r="A84" t="s">
        <v>813</v>
      </c>
    </row>
    <row r="85" spans="1:1" x14ac:dyDescent="0.45">
      <c r="A85" t="s">
        <v>814</v>
      </c>
    </row>
    <row r="86" spans="1:1" x14ac:dyDescent="0.45">
      <c r="A86" t="s">
        <v>815</v>
      </c>
    </row>
    <row r="87" spans="1:1" x14ac:dyDescent="0.45">
      <c r="A87" t="s">
        <v>816</v>
      </c>
    </row>
    <row r="88" spans="1:1" x14ac:dyDescent="0.45">
      <c r="A88" t="s">
        <v>880</v>
      </c>
    </row>
    <row r="89" spans="1:1" x14ac:dyDescent="0.45">
      <c r="A89" t="s">
        <v>817</v>
      </c>
    </row>
    <row r="90" spans="1:1" x14ac:dyDescent="0.45">
      <c r="A90" t="s">
        <v>885</v>
      </c>
    </row>
    <row r="91" spans="1:1" x14ac:dyDescent="0.45">
      <c r="A91" t="s">
        <v>818</v>
      </c>
    </row>
    <row r="92" spans="1:1" x14ac:dyDescent="0.45">
      <c r="A92" t="s">
        <v>1001</v>
      </c>
    </row>
    <row r="93" spans="1:1" x14ac:dyDescent="0.45">
      <c r="A93" t="s">
        <v>972</v>
      </c>
    </row>
    <row r="94" spans="1:1" x14ac:dyDescent="0.45">
      <c r="A94" t="s">
        <v>885</v>
      </c>
    </row>
    <row r="95" spans="1:1" x14ac:dyDescent="0.45">
      <c r="A95" t="s">
        <v>820</v>
      </c>
    </row>
    <row r="96" spans="1:1" x14ac:dyDescent="0.45">
      <c r="A96" t="s">
        <v>813</v>
      </c>
    </row>
    <row r="97" spans="1:1" x14ac:dyDescent="0.45">
      <c r="A97" t="s">
        <v>821</v>
      </c>
    </row>
    <row r="98" spans="1:1" x14ac:dyDescent="0.45">
      <c r="A98" t="s">
        <v>815</v>
      </c>
    </row>
    <row r="99" spans="1:1" x14ac:dyDescent="0.45">
      <c r="A99" t="s">
        <v>822</v>
      </c>
    </row>
    <row r="100" spans="1:1" x14ac:dyDescent="0.45">
      <c r="A100" t="s">
        <v>806</v>
      </c>
    </row>
    <row r="101" spans="1:1" x14ac:dyDescent="0.45">
      <c r="A101" t="s">
        <v>831</v>
      </c>
    </row>
    <row r="102" spans="1:1" x14ac:dyDescent="0.45">
      <c r="A102" t="s">
        <v>832</v>
      </c>
    </row>
    <row r="103" spans="1:1" x14ac:dyDescent="0.45">
      <c r="A103" t="s">
        <v>899</v>
      </c>
    </row>
    <row r="104" spans="1:1" x14ac:dyDescent="0.45">
      <c r="A104" t="s">
        <v>902</v>
      </c>
    </row>
    <row r="105" spans="1:1" x14ac:dyDescent="0.45">
      <c r="A105" t="s">
        <v>806</v>
      </c>
    </row>
    <row r="106" spans="1:1" x14ac:dyDescent="0.45">
      <c r="A106" t="s">
        <v>829</v>
      </c>
    </row>
    <row r="107" spans="1:1" x14ac:dyDescent="0.45">
      <c r="A107" t="s">
        <v>906</v>
      </c>
    </row>
    <row r="108" spans="1:1" x14ac:dyDescent="0.45">
      <c r="A108" t="s">
        <v>830</v>
      </c>
    </row>
    <row r="109" spans="1:1" x14ac:dyDescent="0.45">
      <c r="A109" t="s">
        <v>967</v>
      </c>
    </row>
    <row r="110" spans="1:1" x14ac:dyDescent="0.45">
      <c r="A110" t="s">
        <v>911</v>
      </c>
    </row>
    <row r="111" spans="1:1" x14ac:dyDescent="0.45">
      <c r="A111" t="s">
        <v>818</v>
      </c>
    </row>
    <row r="112" spans="1:1" x14ac:dyDescent="0.45">
      <c r="A112" t="s">
        <v>969</v>
      </c>
    </row>
    <row r="113" spans="1:1" x14ac:dyDescent="0.45">
      <c r="A113" t="s">
        <v>817</v>
      </c>
    </row>
    <row r="114" spans="1:1" x14ac:dyDescent="0.45">
      <c r="A114" t="s">
        <v>970</v>
      </c>
    </row>
    <row r="115" spans="1:1" x14ac:dyDescent="0.45">
      <c r="A115" t="s">
        <v>816</v>
      </c>
    </row>
    <row r="116" spans="1:1" x14ac:dyDescent="0.45">
      <c r="A116" t="s">
        <v>969</v>
      </c>
    </row>
    <row r="117" spans="1:1" x14ac:dyDescent="0.45">
      <c r="A117" t="s">
        <v>814</v>
      </c>
    </row>
    <row r="118" spans="1:1" x14ac:dyDescent="0.45">
      <c r="A118" t="s">
        <v>806</v>
      </c>
    </row>
    <row r="119" spans="1:1" x14ac:dyDescent="0.45">
      <c r="A119" t="s">
        <v>831</v>
      </c>
    </row>
    <row r="120" spans="1:1" x14ac:dyDescent="0.45">
      <c r="A120" t="s">
        <v>832</v>
      </c>
    </row>
    <row r="121" spans="1:1" x14ac:dyDescent="0.45">
      <c r="A121" t="s">
        <v>899</v>
      </c>
    </row>
    <row r="122" spans="1:1" x14ac:dyDescent="0.45">
      <c r="A122" t="s">
        <v>971</v>
      </c>
    </row>
    <row r="123" spans="1:1" x14ac:dyDescent="0.45">
      <c r="A123" t="s">
        <v>974</v>
      </c>
    </row>
    <row r="124" spans="1:1" x14ac:dyDescent="0.45">
      <c r="A124" t="s">
        <v>906</v>
      </c>
    </row>
    <row r="125" spans="1:1" x14ac:dyDescent="0.45">
      <c r="A125" t="s">
        <v>973</v>
      </c>
    </row>
    <row r="126" spans="1:1" x14ac:dyDescent="0.45">
      <c r="A126" t="s">
        <v>828</v>
      </c>
    </row>
    <row r="127" spans="1:1" x14ac:dyDescent="0.45">
      <c r="A127" t="s">
        <v>814</v>
      </c>
    </row>
    <row r="128" spans="1:1" x14ac:dyDescent="0.45">
      <c r="A128" t="s">
        <v>815</v>
      </c>
    </row>
    <row r="129" spans="1:1" x14ac:dyDescent="0.45">
      <c r="A129" t="s">
        <v>816</v>
      </c>
    </row>
    <row r="130" spans="1:1" x14ac:dyDescent="0.45">
      <c r="A130" t="s">
        <v>813</v>
      </c>
    </row>
    <row r="131" spans="1:1" x14ac:dyDescent="0.45">
      <c r="A131" t="s">
        <v>817</v>
      </c>
    </row>
    <row r="132" spans="1:1" x14ac:dyDescent="0.45">
      <c r="A132" t="s">
        <v>815</v>
      </c>
    </row>
    <row r="133" spans="1:1" x14ac:dyDescent="0.45">
      <c r="A133" t="s">
        <v>818</v>
      </c>
    </row>
    <row r="134" spans="1:1" x14ac:dyDescent="0.45">
      <c r="A134" t="s">
        <v>813</v>
      </c>
    </row>
    <row r="135" spans="1:1" x14ac:dyDescent="0.45">
      <c r="A135" t="s">
        <v>819</v>
      </c>
    </row>
    <row r="136" spans="1:1" x14ac:dyDescent="0.45">
      <c r="A136" t="s">
        <v>815</v>
      </c>
    </row>
    <row r="137" spans="1:1" x14ac:dyDescent="0.45">
      <c r="A137" t="s">
        <v>820</v>
      </c>
    </row>
    <row r="138" spans="1:1" x14ac:dyDescent="0.45">
      <c r="A138" t="s">
        <v>813</v>
      </c>
    </row>
    <row r="139" spans="1:1" x14ac:dyDescent="0.45">
      <c r="A139" t="s">
        <v>821</v>
      </c>
    </row>
    <row r="140" spans="1:1" x14ac:dyDescent="0.45">
      <c r="A140" t="s">
        <v>815</v>
      </c>
    </row>
    <row r="141" spans="1:1" x14ac:dyDescent="0.45">
      <c r="A141" t="s">
        <v>822</v>
      </c>
    </row>
    <row r="142" spans="1:1" x14ac:dyDescent="0.45">
      <c r="A142" t="s">
        <v>806</v>
      </c>
    </row>
    <row r="143" spans="1:1" x14ac:dyDescent="0.45">
      <c r="A143" t="s">
        <v>833</v>
      </c>
    </row>
    <row r="144" spans="1:1" x14ac:dyDescent="0.45">
      <c r="A144" t="s">
        <v>834</v>
      </c>
    </row>
    <row r="145" spans="1:1" x14ac:dyDescent="0.45">
      <c r="A145" t="s">
        <v>823</v>
      </c>
    </row>
    <row r="146" spans="1:1" x14ac:dyDescent="0.45">
      <c r="A146" t="s">
        <v>813</v>
      </c>
    </row>
    <row r="147" spans="1:1" x14ac:dyDescent="0.45">
      <c r="A147" t="s">
        <v>820</v>
      </c>
    </row>
    <row r="148" spans="1:1" x14ac:dyDescent="0.45">
      <c r="A148" t="s">
        <v>815</v>
      </c>
    </row>
    <row r="149" spans="1:1" x14ac:dyDescent="0.45">
      <c r="A149" t="s">
        <v>819</v>
      </c>
    </row>
    <row r="150" spans="1:1" x14ac:dyDescent="0.45">
      <c r="A150" t="s">
        <v>813</v>
      </c>
    </row>
    <row r="151" spans="1:1" x14ac:dyDescent="0.45">
      <c r="A151" t="s">
        <v>818</v>
      </c>
    </row>
    <row r="152" spans="1:1" x14ac:dyDescent="0.45">
      <c r="A152" t="s">
        <v>815</v>
      </c>
    </row>
    <row r="153" spans="1:1" x14ac:dyDescent="0.45">
      <c r="A153" t="s">
        <v>817</v>
      </c>
    </row>
    <row r="154" spans="1:1" x14ac:dyDescent="0.45">
      <c r="A154" t="s">
        <v>813</v>
      </c>
    </row>
    <row r="155" spans="1:1" x14ac:dyDescent="0.45">
      <c r="A155" t="s">
        <v>816</v>
      </c>
    </row>
    <row r="156" spans="1:1" x14ac:dyDescent="0.45">
      <c r="A156" t="s">
        <v>815</v>
      </c>
    </row>
    <row r="157" spans="1:1" x14ac:dyDescent="0.45">
      <c r="A157" t="s">
        <v>814</v>
      </c>
    </row>
    <row r="158" spans="1:1" x14ac:dyDescent="0.45">
      <c r="A158" t="s">
        <v>813</v>
      </c>
    </row>
    <row r="159" spans="1:1" x14ac:dyDescent="0.45">
      <c r="A159" t="s">
        <v>824</v>
      </c>
    </row>
    <row r="160" spans="1:1" x14ac:dyDescent="0.45">
      <c r="A160" t="s">
        <v>815</v>
      </c>
    </row>
    <row r="161" spans="1:1" x14ac:dyDescent="0.45">
      <c r="A161" t="s">
        <v>806</v>
      </c>
    </row>
    <row r="162" spans="1:1" x14ac:dyDescent="0.45">
      <c r="A162" t="s">
        <v>835</v>
      </c>
    </row>
    <row r="163" spans="1:1" x14ac:dyDescent="0.45">
      <c r="A163" t="s">
        <v>836</v>
      </c>
    </row>
    <row r="164" spans="1:1" x14ac:dyDescent="0.45">
      <c r="A164" t="s">
        <v>1048</v>
      </c>
    </row>
    <row r="165" spans="1:1" x14ac:dyDescent="0.45">
      <c r="A165" t="s">
        <v>811</v>
      </c>
    </row>
    <row r="167" spans="1:1" x14ac:dyDescent="0.45">
      <c r="A167" t="s">
        <v>638</v>
      </c>
    </row>
    <row r="169" spans="1:1" x14ac:dyDescent="0.45">
      <c r="A169" t="s">
        <v>491</v>
      </c>
    </row>
    <row r="170" spans="1:1" x14ac:dyDescent="0.45">
      <c r="A170" t="s">
        <v>492</v>
      </c>
    </row>
    <row r="171" spans="1:1" x14ac:dyDescent="0.45">
      <c r="A171" t="s">
        <v>493</v>
      </c>
    </row>
    <row r="172" spans="1:1" x14ac:dyDescent="0.45">
      <c r="A172" t="s">
        <v>439</v>
      </c>
    </row>
    <row r="174" spans="1:1" x14ac:dyDescent="0.45">
      <c r="A174" t="s">
        <v>494</v>
      </c>
    </row>
    <row r="175" spans="1:1" x14ac:dyDescent="0.45">
      <c r="A175" t="s">
        <v>495</v>
      </c>
    </row>
    <row r="177" spans="1:1" x14ac:dyDescent="0.45">
      <c r="A177" t="s">
        <v>639</v>
      </c>
    </row>
    <row r="178" spans="1:1" x14ac:dyDescent="0.45">
      <c r="A178" t="s">
        <v>640</v>
      </c>
    </row>
    <row r="180" spans="1:1" x14ac:dyDescent="0.45">
      <c r="A180" t="s">
        <v>496</v>
      </c>
    </row>
    <row r="181" spans="1:1" x14ac:dyDescent="0.45">
      <c r="A181" t="s">
        <v>641</v>
      </c>
    </row>
    <row r="183" spans="1:1" x14ac:dyDescent="0.45">
      <c r="A183" t="s">
        <v>696</v>
      </c>
    </row>
    <row r="184" spans="1:1" x14ac:dyDescent="0.45">
      <c r="A184" t="s">
        <v>793</v>
      </c>
    </row>
    <row r="186" spans="1:1" x14ac:dyDescent="0.45">
      <c r="A186" t="s">
        <v>498</v>
      </c>
    </row>
    <row r="187" spans="1:1" x14ac:dyDescent="0.45">
      <c r="A187"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4.25" x14ac:dyDescent="0.45"/>
  <sheetData>
    <row r="1" spans="1:1" x14ac:dyDescent="0.45">
      <c r="A1" t="s">
        <v>613</v>
      </c>
    </row>
    <row r="2" spans="1:1" x14ac:dyDescent="0.45">
      <c r="A2" s="69" t="s">
        <v>612</v>
      </c>
    </row>
    <row r="6" spans="1:1" x14ac:dyDescent="0.45">
      <c r="A6" t="s">
        <v>626</v>
      </c>
    </row>
    <row r="7" spans="1:1" x14ac:dyDescent="0.45">
      <c r="A7" t="s">
        <v>629</v>
      </c>
    </row>
    <row r="8" spans="1:1" x14ac:dyDescent="0.45">
      <c r="A8" t="s">
        <v>630</v>
      </c>
    </row>
    <row r="15" spans="1:1" x14ac:dyDescent="0.45">
      <c r="A15" t="s">
        <v>627</v>
      </c>
    </row>
    <row r="16" spans="1:1" x14ac:dyDescent="0.45">
      <c r="A16" t="s">
        <v>620</v>
      </c>
    </row>
    <row r="17" spans="1:1" x14ac:dyDescent="0.45">
      <c r="A17" t="s">
        <v>624</v>
      </c>
    </row>
    <row r="18" spans="1:1" x14ac:dyDescent="0.45">
      <c r="A18" t="s">
        <v>621</v>
      </c>
    </row>
    <row r="20" spans="1:1" x14ac:dyDescent="0.45">
      <c r="A20" t="s">
        <v>625</v>
      </c>
    </row>
    <row r="24" spans="1:1" x14ac:dyDescent="0.45">
      <c r="A24" t="s">
        <v>628</v>
      </c>
    </row>
    <row r="25" spans="1:1" x14ac:dyDescent="0.45">
      <c r="A25" t="s">
        <v>611</v>
      </c>
    </row>
    <row r="26" spans="1:1" x14ac:dyDescent="0.45">
      <c r="A26" t="s">
        <v>552</v>
      </c>
    </row>
    <row r="27" spans="1:1" x14ac:dyDescent="0.45">
      <c r="A27" t="s">
        <v>610</v>
      </c>
    </row>
    <row r="28" spans="1:1" x14ac:dyDescent="0.45">
      <c r="A28" t="s">
        <v>609</v>
      </c>
    </row>
    <row r="30" spans="1:1" x14ac:dyDescent="0.45">
      <c r="A30" t="s">
        <v>625</v>
      </c>
    </row>
    <row r="34" spans="1:1" x14ac:dyDescent="0.45">
      <c r="A34" t="s">
        <v>605</v>
      </c>
    </row>
    <row r="35" spans="1:1" x14ac:dyDescent="0.45">
      <c r="A35" t="s">
        <v>606</v>
      </c>
    </row>
    <row r="37" spans="1:1" x14ac:dyDescent="0.45">
      <c r="A37" t="s">
        <v>625</v>
      </c>
    </row>
    <row r="41" spans="1:1" x14ac:dyDescent="0.45">
      <c r="A41" t="s">
        <v>607</v>
      </c>
    </row>
    <row r="42" spans="1:1" x14ac:dyDescent="0.4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30</vt:i4>
      </vt:variant>
    </vt:vector>
  </HeadingPairs>
  <TitlesOfParts>
    <vt:vector size="43"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BeamPerimeterWidth</vt:lpstr>
      <vt:lpstr>BedTemp</vt:lpstr>
      <vt:lpstr>ConcreteBaseLayers</vt:lpstr>
      <vt:lpstr>ConcreteExtrusionHeight</vt:lpstr>
      <vt:lpstr>ConcreteExtrusionSpacing</vt:lpstr>
      <vt:lpstr>ConcreteExtrusionWidth</vt:lpstr>
      <vt:lpstr>ConcreteLayerHeight</vt:lpstr>
      <vt:lpstr>ConcretePrimeLength</vt:lpstr>
      <vt:lpstr>ConcretePrimeX</vt:lpstr>
      <vt:lpstr>ConcretePrimeY</vt:lpstr>
      <vt:lpstr>ConcreteSidePerimeters</vt:lpstr>
      <vt:lpstr>ConcreteTopLayers</vt:lpstr>
      <vt:lpstr>DominoLength</vt:lpstr>
      <vt:lpstr>DominoPerimeterWidth</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2022-12-22T00:35:03Z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